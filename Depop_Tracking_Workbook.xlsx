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9c5449351103779/Desktop/"/>
    </mc:Choice>
  </mc:AlternateContent>
  <xr:revisionPtr revIDLastSave="21" documentId="8_{670D9946-4976-429D-BC64-34B8CE4F35D2}" xr6:coauthVersionLast="47" xr6:coauthVersionMax="47" xr10:uidLastSave="{8F9E38EA-F949-4CB1-A351-8F0606D2182D}"/>
  <bookViews>
    <workbookView xWindow="-110" yWindow="-110" windowWidth="19420" windowHeight="11020" tabRatio="500" firstSheet="1" activeTab="1" xr2:uid="{00000000-000D-0000-FFFF-FFFF00000000}"/>
  </bookViews>
  <sheets>
    <sheet name="Trips" sheetId="1" r:id="rId1"/>
    <sheet name="Items" sheetId="2" r:id="rId2"/>
    <sheet name="Listings" sheetId="3" r:id="rId3"/>
    <sheet name="Sales" sheetId="4" r:id="rId4"/>
    <sheet name="DepopSalesImport" sheetId="6" r:id="rId5"/>
  </sheets>
  <definedNames>
    <definedName name="_xlnm._FilterDatabase" localSheetId="1" hidden="1">Items!$A$1:$J$199</definedName>
    <definedName name="ExternalData_1" localSheetId="4" hidden="1">DepopSalesImport!$A$1:$AE$13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51" i="1" l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F191" i="4"/>
  <c r="AG191" i="4"/>
  <c r="AH191" i="4"/>
  <c r="AI191" i="4" a="1"/>
  <c r="AI191" i="4" s="1"/>
  <c r="AF192" i="4"/>
  <c r="AG192" i="4"/>
  <c r="AH192" i="4"/>
  <c r="AI192" i="4" a="1"/>
  <c r="AI192" i="4" s="1"/>
  <c r="AF193" i="4"/>
  <c r="AG193" i="4"/>
  <c r="AH193" i="4"/>
  <c r="AI193" i="4" a="1"/>
  <c r="AI193" i="4" s="1"/>
  <c r="AF194" i="4"/>
  <c r="AG194" i="4"/>
  <c r="AH194" i="4"/>
  <c r="AI194" i="4" a="1"/>
  <c r="AI194" i="4" s="1"/>
  <c r="AF195" i="4"/>
  <c r="AG195" i="4"/>
  <c r="AH195" i="4"/>
  <c r="AI195" i="4" a="1"/>
  <c r="AI195" i="4" s="1"/>
  <c r="AF196" i="4"/>
  <c r="AG196" i="4"/>
  <c r="AH196" i="4"/>
  <c r="AI196" i="4" a="1"/>
  <c r="AI196" i="4" s="1"/>
  <c r="AF197" i="4"/>
  <c r="AG197" i="4"/>
  <c r="AH197" i="4"/>
  <c r="AI197" i="4" a="1"/>
  <c r="AI197" i="4" s="1"/>
  <c r="AF198" i="4"/>
  <c r="AG198" i="4"/>
  <c r="AH198" i="4"/>
  <c r="AI198" i="4" a="1"/>
  <c r="AI198" i="4" s="1"/>
  <c r="AF199" i="4"/>
  <c r="AG199" i="4"/>
  <c r="AH199" i="4"/>
  <c r="AI199" i="4" a="1"/>
  <c r="AI199" i="4" s="1"/>
  <c r="AF200" i="4"/>
  <c r="AG200" i="4"/>
  <c r="AH200" i="4"/>
  <c r="AI200" i="4" a="1"/>
  <c r="AI200" i="4" s="1"/>
  <c r="AI190" i="4" a="1"/>
  <c r="AI190" i="4" s="1"/>
  <c r="AH190" i="4"/>
  <c r="AG190" i="4"/>
  <c r="AF190" i="4"/>
  <c r="AF3" i="4"/>
  <c r="AG3" i="4"/>
  <c r="AH3" i="4"/>
  <c r="AF105" i="4"/>
  <c r="AF106" i="4"/>
  <c r="AF103" i="4"/>
  <c r="AF101" i="4"/>
  <c r="AF102" i="4"/>
  <c r="AF98" i="4"/>
  <c r="AF99" i="4"/>
  <c r="AF100" i="4"/>
  <c r="AF96" i="4"/>
  <c r="AF97" i="4"/>
  <c r="AF94" i="4"/>
  <c r="AF95" i="4"/>
  <c r="AG105" i="4"/>
  <c r="AG106" i="4"/>
  <c r="AG103" i="4"/>
  <c r="AG101" i="4"/>
  <c r="AG102" i="4"/>
  <c r="AG98" i="4"/>
  <c r="AG99" i="4"/>
  <c r="AG100" i="4"/>
  <c r="AG96" i="4"/>
  <c r="AG97" i="4"/>
  <c r="AG94" i="4"/>
  <c r="AG95" i="4"/>
  <c r="AH105" i="4"/>
  <c r="AH106" i="4"/>
  <c r="AH103" i="4"/>
  <c r="AH101" i="4"/>
  <c r="AH102" i="4"/>
  <c r="AH98" i="4"/>
  <c r="AH99" i="4"/>
  <c r="AH100" i="4"/>
  <c r="AH96" i="4"/>
  <c r="AH97" i="4"/>
  <c r="AH94" i="4"/>
  <c r="AH95" i="4"/>
  <c r="AH12" i="4"/>
  <c r="AH10" i="4"/>
  <c r="AH11" i="4"/>
  <c r="AH9" i="4"/>
  <c r="AH7" i="4"/>
  <c r="AH8" i="4"/>
  <c r="AH5" i="4"/>
  <c r="AH6" i="4"/>
  <c r="AH4" i="4"/>
  <c r="AH2" i="4"/>
  <c r="AH43" i="4"/>
  <c r="AH42" i="4"/>
  <c r="AH41" i="4"/>
  <c r="AH40" i="4"/>
  <c r="AH39" i="4"/>
  <c r="AH38" i="4"/>
  <c r="AH37" i="4"/>
  <c r="AH36" i="4"/>
  <c r="AH33" i="4"/>
  <c r="AH34" i="4"/>
  <c r="AH35" i="4"/>
  <c r="AH30" i="4"/>
  <c r="AH31" i="4"/>
  <c r="AH32" i="4"/>
  <c r="AH29" i="4"/>
  <c r="AH28" i="4"/>
  <c r="AH27" i="4"/>
  <c r="AH26" i="4"/>
  <c r="AH25" i="4"/>
  <c r="AH24" i="4"/>
  <c r="AH22" i="4"/>
  <c r="AH23" i="4"/>
  <c r="AH21" i="4"/>
  <c r="AH20" i="4"/>
  <c r="AH19" i="4"/>
  <c r="AH18" i="4"/>
  <c r="AH16" i="4"/>
  <c r="AH17" i="4"/>
  <c r="AH14" i="4"/>
  <c r="AH15" i="4"/>
  <c r="AH13" i="4"/>
  <c r="AH93" i="4"/>
  <c r="AH92" i="4"/>
  <c r="AH91" i="4"/>
  <c r="AH90" i="4"/>
  <c r="AH88" i="4"/>
  <c r="AH89" i="4"/>
  <c r="AH87" i="4"/>
  <c r="AH86" i="4"/>
  <c r="AH85" i="4"/>
  <c r="AH84" i="4"/>
  <c r="AH83" i="4"/>
  <c r="AH82" i="4"/>
  <c r="AH81" i="4"/>
  <c r="AH79" i="4"/>
  <c r="AH80" i="4"/>
  <c r="AH75" i="4"/>
  <c r="AH76" i="4"/>
  <c r="AH77" i="4"/>
  <c r="AH78" i="4"/>
  <c r="AH74" i="4"/>
  <c r="AH72" i="4"/>
  <c r="AH73" i="4"/>
  <c r="AH70" i="4"/>
  <c r="AH71" i="4"/>
  <c r="AH69" i="4"/>
  <c r="AH67" i="4"/>
  <c r="AH68" i="4"/>
  <c r="AH66" i="4"/>
  <c r="AH65" i="4"/>
  <c r="AH64" i="4"/>
  <c r="AH62" i="4"/>
  <c r="AH63" i="4"/>
  <c r="AH61" i="4"/>
  <c r="AH60" i="4"/>
  <c r="AH58" i="4"/>
  <c r="AH59" i="4"/>
  <c r="AH57" i="4"/>
  <c r="AH54" i="4"/>
  <c r="AH55" i="4"/>
  <c r="AH56" i="4"/>
  <c r="AH53" i="4"/>
  <c r="AH51" i="4"/>
  <c r="AH52" i="4"/>
  <c r="AH50" i="4"/>
  <c r="AH49" i="4"/>
  <c r="AH48" i="4"/>
  <c r="AH47" i="4"/>
  <c r="AH46" i="4"/>
  <c r="AH44" i="4"/>
  <c r="AH45" i="4"/>
  <c r="AH189" i="4"/>
  <c r="AH188" i="4"/>
  <c r="AH183" i="4"/>
  <c r="AH184" i="4"/>
  <c r="AH185" i="4"/>
  <c r="AH186" i="4"/>
  <c r="AH187" i="4"/>
  <c r="AH182" i="4"/>
  <c r="AH180" i="4"/>
  <c r="AH181" i="4"/>
  <c r="AH179" i="4"/>
  <c r="AH178" i="4"/>
  <c r="AH177" i="4"/>
  <c r="AH175" i="4"/>
  <c r="AH176" i="4"/>
  <c r="AH173" i="4"/>
  <c r="AH174" i="4"/>
  <c r="AH168" i="4"/>
  <c r="AH169" i="4"/>
  <c r="AH170" i="4"/>
  <c r="AH171" i="4"/>
  <c r="AH172" i="4"/>
  <c r="AH165" i="4"/>
  <c r="AH166" i="4"/>
  <c r="AH167" i="4"/>
  <c r="AH160" i="4"/>
  <c r="AH161" i="4"/>
  <c r="AH162" i="4"/>
  <c r="AH163" i="4"/>
  <c r="AH164" i="4"/>
  <c r="AH157" i="4"/>
  <c r="AH158" i="4"/>
  <c r="AH159" i="4"/>
  <c r="AH155" i="4"/>
  <c r="AH156" i="4"/>
  <c r="AH150" i="4"/>
  <c r="AH151" i="4"/>
  <c r="AH152" i="4"/>
  <c r="AH153" i="4"/>
  <c r="AH154" i="4"/>
  <c r="AH147" i="4"/>
  <c r="AH148" i="4"/>
  <c r="AH149" i="4"/>
  <c r="AH146" i="4"/>
  <c r="AH144" i="4"/>
  <c r="AH145" i="4"/>
  <c r="AH142" i="4"/>
  <c r="AH143" i="4"/>
  <c r="AH140" i="4"/>
  <c r="AH141" i="4"/>
  <c r="AH139" i="4"/>
  <c r="AH138" i="4"/>
  <c r="AH135" i="4"/>
  <c r="AH136" i="4"/>
  <c r="AH137" i="4"/>
  <c r="AH133" i="4"/>
  <c r="AH134" i="4"/>
  <c r="AH131" i="4"/>
  <c r="AH132" i="4"/>
  <c r="AH129" i="4"/>
  <c r="AH130" i="4"/>
  <c r="AH128" i="4"/>
  <c r="AH127" i="4"/>
  <c r="AH126" i="4"/>
  <c r="AH125" i="4"/>
  <c r="AH121" i="4"/>
  <c r="AH122" i="4"/>
  <c r="AH123" i="4"/>
  <c r="AH124" i="4"/>
  <c r="AH120" i="4"/>
  <c r="AH118" i="4"/>
  <c r="AH119" i="4"/>
  <c r="AH117" i="4"/>
  <c r="AH114" i="4"/>
  <c r="AH115" i="4"/>
  <c r="AH116" i="4"/>
  <c r="AH111" i="4"/>
  <c r="AH112" i="4"/>
  <c r="AH113" i="4"/>
  <c r="AH109" i="4"/>
  <c r="AH110" i="4"/>
  <c r="AH107" i="4"/>
  <c r="AH108" i="4"/>
  <c r="AH104" i="4"/>
  <c r="AG12" i="4"/>
  <c r="AG10" i="4"/>
  <c r="AG11" i="4"/>
  <c r="AG9" i="4"/>
  <c r="AG7" i="4"/>
  <c r="AG8" i="4"/>
  <c r="AG5" i="4"/>
  <c r="AG6" i="4"/>
  <c r="AG4" i="4"/>
  <c r="AG2" i="4"/>
  <c r="AG43" i="4"/>
  <c r="AG42" i="4"/>
  <c r="AG41" i="4"/>
  <c r="AG40" i="4"/>
  <c r="AG39" i="4"/>
  <c r="AG38" i="4"/>
  <c r="AG37" i="4"/>
  <c r="AG36" i="4"/>
  <c r="AG33" i="4"/>
  <c r="AG34" i="4"/>
  <c r="AG35" i="4"/>
  <c r="AG30" i="4"/>
  <c r="AG31" i="4"/>
  <c r="AG32" i="4"/>
  <c r="AG29" i="4"/>
  <c r="AG28" i="4"/>
  <c r="AG27" i="4"/>
  <c r="AG26" i="4"/>
  <c r="AG25" i="4"/>
  <c r="AG24" i="4"/>
  <c r="AG22" i="4"/>
  <c r="AG23" i="4"/>
  <c r="AG21" i="4"/>
  <c r="AG20" i="4"/>
  <c r="AG19" i="4"/>
  <c r="AG18" i="4"/>
  <c r="AG16" i="4"/>
  <c r="AG17" i="4"/>
  <c r="AG14" i="4"/>
  <c r="AG15" i="4"/>
  <c r="AG13" i="4"/>
  <c r="AG93" i="4"/>
  <c r="AG92" i="4"/>
  <c r="AG91" i="4"/>
  <c r="AG90" i="4"/>
  <c r="AG88" i="4"/>
  <c r="AG89" i="4"/>
  <c r="AG87" i="4"/>
  <c r="AG86" i="4"/>
  <c r="AG85" i="4"/>
  <c r="AG84" i="4"/>
  <c r="AG83" i="4"/>
  <c r="AG82" i="4"/>
  <c r="AG81" i="4"/>
  <c r="AG79" i="4"/>
  <c r="AG80" i="4"/>
  <c r="AG75" i="4"/>
  <c r="AG76" i="4"/>
  <c r="AG77" i="4"/>
  <c r="AG78" i="4"/>
  <c r="AG74" i="4"/>
  <c r="AG72" i="4"/>
  <c r="AG73" i="4"/>
  <c r="AG70" i="4"/>
  <c r="AG71" i="4"/>
  <c r="AG69" i="4"/>
  <c r="AG67" i="4"/>
  <c r="AG68" i="4"/>
  <c r="AG66" i="4"/>
  <c r="AG65" i="4"/>
  <c r="AG64" i="4"/>
  <c r="AG62" i="4"/>
  <c r="AG63" i="4"/>
  <c r="AG61" i="4"/>
  <c r="AG60" i="4"/>
  <c r="AG58" i="4"/>
  <c r="AG59" i="4"/>
  <c r="AG57" i="4"/>
  <c r="AG54" i="4"/>
  <c r="AG55" i="4"/>
  <c r="AG56" i="4"/>
  <c r="AG53" i="4"/>
  <c r="AG51" i="4"/>
  <c r="AG52" i="4"/>
  <c r="AG50" i="4"/>
  <c r="AG49" i="4"/>
  <c r="AG48" i="4"/>
  <c r="AG47" i="4"/>
  <c r="AG46" i="4"/>
  <c r="AG44" i="4"/>
  <c r="AG45" i="4"/>
  <c r="AG189" i="4"/>
  <c r="AG188" i="4"/>
  <c r="AG183" i="4"/>
  <c r="AG184" i="4"/>
  <c r="AG185" i="4"/>
  <c r="AG186" i="4"/>
  <c r="AG187" i="4"/>
  <c r="AG182" i="4"/>
  <c r="AG180" i="4"/>
  <c r="AG181" i="4"/>
  <c r="AG179" i="4"/>
  <c r="AG178" i="4"/>
  <c r="AG177" i="4"/>
  <c r="AG175" i="4"/>
  <c r="AG176" i="4"/>
  <c r="AG173" i="4"/>
  <c r="AG174" i="4"/>
  <c r="AG168" i="4"/>
  <c r="AG169" i="4"/>
  <c r="AG170" i="4"/>
  <c r="AG171" i="4"/>
  <c r="AG172" i="4"/>
  <c r="AG165" i="4"/>
  <c r="AG166" i="4"/>
  <c r="AG167" i="4"/>
  <c r="AG160" i="4"/>
  <c r="AG161" i="4"/>
  <c r="AG162" i="4"/>
  <c r="AG163" i="4"/>
  <c r="AG164" i="4"/>
  <c r="AG157" i="4"/>
  <c r="AG158" i="4"/>
  <c r="AG159" i="4"/>
  <c r="AG155" i="4"/>
  <c r="AG156" i="4"/>
  <c r="AG150" i="4"/>
  <c r="AG151" i="4"/>
  <c r="AG152" i="4"/>
  <c r="AG153" i="4"/>
  <c r="AG154" i="4"/>
  <c r="AG147" i="4"/>
  <c r="AG148" i="4"/>
  <c r="AG149" i="4"/>
  <c r="AG146" i="4"/>
  <c r="AG144" i="4"/>
  <c r="AG145" i="4"/>
  <c r="AG142" i="4"/>
  <c r="AG143" i="4"/>
  <c r="AG140" i="4"/>
  <c r="AG141" i="4"/>
  <c r="AG139" i="4"/>
  <c r="AG138" i="4"/>
  <c r="AG135" i="4"/>
  <c r="AG136" i="4"/>
  <c r="AG137" i="4"/>
  <c r="AG133" i="4"/>
  <c r="AG134" i="4"/>
  <c r="AG131" i="4"/>
  <c r="AG132" i="4"/>
  <c r="AG129" i="4"/>
  <c r="AG130" i="4"/>
  <c r="AG128" i="4"/>
  <c r="AG127" i="4"/>
  <c r="AG126" i="4"/>
  <c r="AG125" i="4"/>
  <c r="AG121" i="4"/>
  <c r="AG122" i="4"/>
  <c r="AG123" i="4"/>
  <c r="AG124" i="4"/>
  <c r="AG120" i="4"/>
  <c r="AG118" i="4"/>
  <c r="AG119" i="4"/>
  <c r="AG117" i="4"/>
  <c r="AG114" i="4"/>
  <c r="AG115" i="4"/>
  <c r="AG116" i="4"/>
  <c r="AG111" i="4"/>
  <c r="AG112" i="4"/>
  <c r="AG113" i="4"/>
  <c r="AG109" i="4"/>
  <c r="AG110" i="4"/>
  <c r="AG107" i="4"/>
  <c r="AG108" i="4"/>
  <c r="AG104" i="4"/>
  <c r="AF104" i="4"/>
  <c r="AF108" i="4"/>
  <c r="AF107" i="4"/>
  <c r="AF110" i="4"/>
  <c r="AF109" i="4"/>
  <c r="AF113" i="4"/>
  <c r="AF112" i="4"/>
  <c r="AF111" i="4"/>
  <c r="AF116" i="4"/>
  <c r="AF115" i="4"/>
  <c r="AF114" i="4"/>
  <c r="AF117" i="4"/>
  <c r="AF119" i="4"/>
  <c r="AF118" i="4"/>
  <c r="AF120" i="4"/>
  <c r="AF124" i="4"/>
  <c r="AF123" i="4"/>
  <c r="AF122" i="4"/>
  <c r="AF121" i="4"/>
  <c r="AF125" i="4"/>
  <c r="AF126" i="4"/>
  <c r="AF127" i="4"/>
  <c r="AF128" i="4"/>
  <c r="AF130" i="4"/>
  <c r="AF129" i="4"/>
  <c r="AF132" i="4"/>
  <c r="AF131" i="4"/>
  <c r="AF134" i="4"/>
  <c r="AF133" i="4"/>
  <c r="AF137" i="4"/>
  <c r="AF136" i="4"/>
  <c r="AF135" i="4"/>
  <c r="AF138" i="4"/>
  <c r="AF139" i="4"/>
  <c r="AF141" i="4"/>
  <c r="AF140" i="4"/>
  <c r="AF143" i="4"/>
  <c r="AF142" i="4"/>
  <c r="AF145" i="4"/>
  <c r="AF144" i="4"/>
  <c r="AF146" i="4"/>
  <c r="AF149" i="4"/>
  <c r="AF148" i="4"/>
  <c r="AF147" i="4"/>
  <c r="AF154" i="4"/>
  <c r="AF153" i="4"/>
  <c r="AF152" i="4"/>
  <c r="AF151" i="4"/>
  <c r="AF150" i="4"/>
  <c r="AF156" i="4"/>
  <c r="AF155" i="4"/>
  <c r="AF159" i="4"/>
  <c r="AF158" i="4"/>
  <c r="AF157" i="4"/>
  <c r="AF164" i="4"/>
  <c r="AF163" i="4"/>
  <c r="AF162" i="4"/>
  <c r="AF161" i="4"/>
  <c r="AF160" i="4"/>
  <c r="AF167" i="4"/>
  <c r="AF166" i="4"/>
  <c r="AF165" i="4"/>
  <c r="AF172" i="4"/>
  <c r="AF171" i="4"/>
  <c r="AF170" i="4"/>
  <c r="AF169" i="4"/>
  <c r="AF168" i="4"/>
  <c r="AF174" i="4"/>
  <c r="AF173" i="4"/>
  <c r="AF176" i="4"/>
  <c r="AF175" i="4"/>
  <c r="AF177" i="4"/>
  <c r="AF178" i="4"/>
  <c r="AF179" i="4"/>
  <c r="AF181" i="4"/>
  <c r="AF180" i="4"/>
  <c r="AF182" i="4"/>
  <c r="AF187" i="4"/>
  <c r="AF186" i="4"/>
  <c r="AF185" i="4"/>
  <c r="AF184" i="4"/>
  <c r="AF183" i="4"/>
  <c r="AF188" i="4"/>
  <c r="AF189" i="4"/>
  <c r="AF45" i="4"/>
  <c r="AF44" i="4"/>
  <c r="AF46" i="4"/>
  <c r="AF47" i="4"/>
  <c r="AF48" i="4"/>
  <c r="AF49" i="4"/>
  <c r="AF50" i="4"/>
  <c r="AF52" i="4"/>
  <c r="AF51" i="4"/>
  <c r="AF53" i="4"/>
  <c r="AF56" i="4"/>
  <c r="AF55" i="4"/>
  <c r="AF54" i="4"/>
  <c r="AF57" i="4"/>
  <c r="AF59" i="4"/>
  <c r="AF58" i="4"/>
  <c r="AF60" i="4"/>
  <c r="AF61" i="4"/>
  <c r="AF63" i="4"/>
  <c r="AF62" i="4"/>
  <c r="AF64" i="4"/>
  <c r="AF65" i="4"/>
  <c r="AF66" i="4"/>
  <c r="AF68" i="4"/>
  <c r="AF67" i="4"/>
  <c r="AF69" i="4"/>
  <c r="AF71" i="4"/>
  <c r="AF70" i="4"/>
  <c r="AF73" i="4"/>
  <c r="AF72" i="4"/>
  <c r="AF74" i="4"/>
  <c r="AF78" i="4"/>
  <c r="AF77" i="4"/>
  <c r="AF76" i="4"/>
  <c r="AF75" i="4"/>
  <c r="AF80" i="4"/>
  <c r="AF79" i="4"/>
  <c r="AF81" i="4"/>
  <c r="AF82" i="4"/>
  <c r="AF83" i="4"/>
  <c r="AF84" i="4"/>
  <c r="AF85" i="4"/>
  <c r="AF86" i="4"/>
  <c r="AF87" i="4"/>
  <c r="AF89" i="4"/>
  <c r="AF88" i="4"/>
  <c r="AF90" i="4"/>
  <c r="AF91" i="4"/>
  <c r="AF92" i="4"/>
  <c r="AF93" i="4"/>
  <c r="AF13" i="4"/>
  <c r="AF15" i="4"/>
  <c r="AF14" i="4"/>
  <c r="AF17" i="4"/>
  <c r="AF16" i="4"/>
  <c r="AF18" i="4"/>
  <c r="AF19" i="4"/>
  <c r="AF20" i="4"/>
  <c r="AF21" i="4"/>
  <c r="AF23" i="4"/>
  <c r="AF22" i="4"/>
  <c r="AF24" i="4"/>
  <c r="AF25" i="4"/>
  <c r="AF26" i="4"/>
  <c r="AF27" i="4"/>
  <c r="AF28" i="4"/>
  <c r="AF29" i="4"/>
  <c r="AF32" i="4"/>
  <c r="AF31" i="4"/>
  <c r="AF30" i="4"/>
  <c r="AF35" i="4"/>
  <c r="AF34" i="4"/>
  <c r="AF33" i="4"/>
  <c r="AF36" i="4"/>
  <c r="AF37" i="4"/>
  <c r="AF38" i="4"/>
  <c r="AF39" i="4"/>
  <c r="AF40" i="4"/>
  <c r="AF41" i="4"/>
  <c r="AF42" i="4"/>
  <c r="AF43" i="4"/>
  <c r="AF2" i="4"/>
  <c r="AF4" i="4"/>
  <c r="AF6" i="4"/>
  <c r="AF5" i="4"/>
  <c r="AF8" i="4"/>
  <c r="AF7" i="4"/>
  <c r="AF9" i="4"/>
  <c r="AF11" i="4"/>
  <c r="AF10" i="4"/>
  <c r="AF12" i="4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H18" i="3"/>
  <c r="J18" i="3" s="1"/>
  <c r="H19" i="3"/>
  <c r="J19" i="3" s="1"/>
  <c r="H20" i="3"/>
  <c r="J20" i="3" s="1"/>
  <c r="H21" i="3"/>
  <c r="J21" i="3" s="1"/>
  <c r="H22" i="3"/>
  <c r="J22" i="3" s="1"/>
  <c r="H23" i="3"/>
  <c r="J23" i="3" s="1"/>
  <c r="H24" i="3"/>
  <c r="J24" i="3" s="1"/>
  <c r="H25" i="3"/>
  <c r="J25" i="3" s="1"/>
  <c r="H26" i="3"/>
  <c r="J26" i="3" s="1"/>
  <c r="H27" i="3"/>
  <c r="J27" i="3" s="1"/>
  <c r="H28" i="3"/>
  <c r="J28" i="3" s="1"/>
  <c r="H29" i="3"/>
  <c r="J29" i="3" s="1"/>
  <c r="H30" i="3"/>
  <c r="J30" i="3" s="1"/>
  <c r="H31" i="3"/>
  <c r="J31" i="3" s="1"/>
  <c r="H32" i="3"/>
  <c r="J32" i="3" s="1"/>
  <c r="H33" i="3"/>
  <c r="J33" i="3" s="1"/>
  <c r="H34" i="3"/>
  <c r="J34" i="3" s="1"/>
  <c r="H35" i="3"/>
  <c r="J35" i="3" s="1"/>
  <c r="H36" i="3"/>
  <c r="J36" i="3" s="1"/>
  <c r="H37" i="3"/>
  <c r="J37" i="3" s="1"/>
  <c r="H38" i="3"/>
  <c r="J38" i="3" s="1"/>
  <c r="H39" i="3"/>
  <c r="J39" i="3" s="1"/>
  <c r="H40" i="3"/>
  <c r="J40" i="3" s="1"/>
  <c r="H41" i="3"/>
  <c r="J41" i="3" s="1"/>
  <c r="H42" i="3"/>
  <c r="J42" i="3" s="1"/>
  <c r="H43" i="3"/>
  <c r="J43" i="3" s="1"/>
  <c r="H44" i="3"/>
  <c r="J44" i="3" s="1"/>
  <c r="H45" i="3"/>
  <c r="J45" i="3" s="1"/>
  <c r="H46" i="3"/>
  <c r="J46" i="3" s="1"/>
  <c r="H47" i="3"/>
  <c r="J47" i="3" s="1"/>
  <c r="H48" i="3"/>
  <c r="J48" i="3" s="1"/>
  <c r="H49" i="3"/>
  <c r="J49" i="3" s="1"/>
  <c r="H50" i="3"/>
  <c r="J50" i="3" s="1"/>
  <c r="H51" i="3"/>
  <c r="J51" i="3" s="1"/>
  <c r="H52" i="3"/>
  <c r="J52" i="3" s="1"/>
  <c r="H53" i="3"/>
  <c r="J53" i="3" s="1"/>
  <c r="H54" i="3"/>
  <c r="J54" i="3" s="1"/>
  <c r="H55" i="3"/>
  <c r="J55" i="3" s="1"/>
  <c r="H56" i="3"/>
  <c r="J56" i="3" s="1"/>
  <c r="H57" i="3"/>
  <c r="J57" i="3" s="1"/>
  <c r="H58" i="3"/>
  <c r="J58" i="3" s="1"/>
  <c r="H59" i="3"/>
  <c r="J59" i="3" s="1"/>
  <c r="H60" i="3"/>
  <c r="J60" i="3" s="1"/>
  <c r="H61" i="3"/>
  <c r="J61" i="3" s="1"/>
  <c r="H62" i="3"/>
  <c r="J62" i="3" s="1"/>
  <c r="H63" i="3"/>
  <c r="J63" i="3" s="1"/>
  <c r="H64" i="3"/>
  <c r="J64" i="3" s="1"/>
  <c r="H65" i="3"/>
  <c r="J65" i="3" s="1"/>
  <c r="H66" i="3"/>
  <c r="J66" i="3" s="1"/>
  <c r="H67" i="3"/>
  <c r="J67" i="3" s="1"/>
  <c r="H68" i="3"/>
  <c r="J68" i="3" s="1"/>
  <c r="H69" i="3"/>
  <c r="J69" i="3" s="1"/>
  <c r="H70" i="3"/>
  <c r="J70" i="3" s="1"/>
  <c r="H71" i="3"/>
  <c r="J71" i="3" s="1"/>
  <c r="H72" i="3"/>
  <c r="J72" i="3" s="1"/>
  <c r="H73" i="3"/>
  <c r="J73" i="3" s="1"/>
  <c r="H74" i="3"/>
  <c r="J74" i="3" s="1"/>
  <c r="H75" i="3"/>
  <c r="J75" i="3" s="1"/>
  <c r="H76" i="3"/>
  <c r="J76" i="3" s="1"/>
  <c r="H77" i="3"/>
  <c r="J77" i="3" s="1"/>
  <c r="H78" i="3"/>
  <c r="J78" i="3" s="1"/>
  <c r="H79" i="3"/>
  <c r="J79" i="3" s="1"/>
  <c r="H80" i="3"/>
  <c r="J80" i="3" s="1"/>
  <c r="H81" i="3"/>
  <c r="J81" i="3" s="1"/>
  <c r="H82" i="3"/>
  <c r="J82" i="3" s="1"/>
  <c r="H83" i="3"/>
  <c r="J83" i="3" s="1"/>
  <c r="H84" i="3"/>
  <c r="J84" i="3" s="1"/>
  <c r="H85" i="3"/>
  <c r="J85" i="3" s="1"/>
  <c r="H86" i="3"/>
  <c r="J86" i="3" s="1"/>
  <c r="H87" i="3"/>
  <c r="J87" i="3" s="1"/>
  <c r="H88" i="3"/>
  <c r="J88" i="3" s="1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AE200" i="4"/>
  <c r="AD200" i="4"/>
  <c r="AC200" i="4"/>
  <c r="AE199" i="4"/>
  <c r="AD199" i="4"/>
  <c r="AC199" i="4"/>
  <c r="AE198" i="4"/>
  <c r="AD198" i="4"/>
  <c r="AC198" i="4"/>
  <c r="AE197" i="4"/>
  <c r="AD197" i="4"/>
  <c r="AC197" i="4"/>
  <c r="AE196" i="4"/>
  <c r="AD196" i="4"/>
  <c r="AC196" i="4"/>
  <c r="AE195" i="4"/>
  <c r="AD195" i="4"/>
  <c r="AC195" i="4"/>
  <c r="AE194" i="4"/>
  <c r="AD194" i="4"/>
  <c r="AC194" i="4"/>
  <c r="AE193" i="4"/>
  <c r="AD193" i="4"/>
  <c r="AC193" i="4"/>
  <c r="AE192" i="4"/>
  <c r="AD192" i="4"/>
  <c r="AC192" i="4"/>
  <c r="AE191" i="4"/>
  <c r="AD191" i="4"/>
  <c r="AC191" i="4"/>
  <c r="AE190" i="4"/>
  <c r="AD190" i="4"/>
  <c r="AC190" i="4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I7" i="3" l="1"/>
  <c r="H15" i="3"/>
  <c r="J15" i="3" s="1"/>
  <c r="H7" i="3"/>
  <c r="J7" i="3" s="1"/>
  <c r="I15" i="3"/>
  <c r="I6" i="3"/>
  <c r="H6" i="3"/>
  <c r="J6" i="3" s="1"/>
  <c r="H13" i="3"/>
  <c r="J13" i="3" s="1"/>
  <c r="H5" i="3"/>
  <c r="I13" i="3"/>
  <c r="I5" i="3"/>
  <c r="H12" i="3"/>
  <c r="J12" i="3" s="1"/>
  <c r="H4" i="3"/>
  <c r="I12" i="3"/>
  <c r="I4" i="3"/>
  <c r="I3" i="3"/>
  <c r="H2" i="3"/>
  <c r="H10" i="3"/>
  <c r="I2" i="3"/>
  <c r="I10" i="3"/>
  <c r="H3" i="3"/>
  <c r="I11" i="3"/>
  <c r="H17" i="3"/>
  <c r="H9" i="3"/>
  <c r="J9" i="3" s="1"/>
  <c r="I17" i="3"/>
  <c r="I9" i="3"/>
  <c r="H11" i="3"/>
  <c r="J11" i="3" s="1"/>
  <c r="H16" i="3"/>
  <c r="J16" i="3" s="1"/>
  <c r="H8" i="3"/>
  <c r="I16" i="3"/>
  <c r="I8" i="3"/>
  <c r="H14" i="3"/>
  <c r="J14" i="3" s="1"/>
  <c r="I14" i="3"/>
  <c r="J8" i="3" l="1"/>
  <c r="J2" i="3"/>
  <c r="J3" i="3"/>
  <c r="J4" i="3"/>
  <c r="J10" i="3"/>
  <c r="J5" i="3"/>
  <c r="J17" i="3"/>
  <c r="AI98" i="4" l="1" a="1"/>
  <c r="AI98" i="4" s="1"/>
  <c r="AI10" i="4" a="1"/>
  <c r="AI10" i="4" s="1"/>
  <c r="AI2" i="4" a="1"/>
  <c r="AI2" i="4" s="1"/>
  <c r="AI36" i="4" a="1"/>
  <c r="AI36" i="4" s="1"/>
  <c r="AI28" i="4" a="1"/>
  <c r="AI28" i="4" s="1"/>
  <c r="AI20" i="4" a="1"/>
  <c r="AI20" i="4" s="1"/>
  <c r="AI93" i="4" a="1"/>
  <c r="AI93" i="4" s="1"/>
  <c r="AI85" i="4" a="1"/>
  <c r="AI85" i="4" s="1"/>
  <c r="AI76" i="4" a="1"/>
  <c r="AI76" i="4" s="1"/>
  <c r="AI69" i="4" a="1"/>
  <c r="AI69" i="4" s="1"/>
  <c r="AI61" i="4" a="1"/>
  <c r="AI61" i="4" s="1"/>
  <c r="AI53" i="4" a="1"/>
  <c r="AI53" i="4" s="1"/>
  <c r="AI44" i="4" a="1"/>
  <c r="AI44" i="4" s="1"/>
  <c r="AI187" i="4" a="1"/>
  <c r="AI187" i="4" s="1"/>
  <c r="AI176" i="4" a="1"/>
  <c r="AI176" i="4" s="1"/>
  <c r="AI165" i="4" a="1"/>
  <c r="AI165" i="4" s="1"/>
  <c r="AI157" i="4" a="1"/>
  <c r="AI157" i="4" s="1"/>
  <c r="AI153" i="4" a="1"/>
  <c r="AI153" i="4" s="1"/>
  <c r="AI142" i="4" a="1"/>
  <c r="AI142" i="4" s="1"/>
  <c r="AI137" i="4" a="1"/>
  <c r="AI137" i="4" s="1"/>
  <c r="AI127" i="4" a="1"/>
  <c r="AI127" i="4" s="1"/>
  <c r="AI118" i="4" a="1"/>
  <c r="AI118" i="4" s="1"/>
  <c r="AI113" i="4" a="1"/>
  <c r="AI113" i="4" s="1"/>
  <c r="AI182" i="4" a="1"/>
  <c r="AI182" i="4" s="1"/>
  <c r="AI173" i="4" a="1"/>
  <c r="AI173" i="4" s="1"/>
  <c r="AI166" i="4" a="1"/>
  <c r="AI166" i="4" s="1"/>
  <c r="AI158" i="4" a="1"/>
  <c r="AI158" i="4" s="1"/>
  <c r="AI154" i="4" a="1"/>
  <c r="AI154" i="4" s="1"/>
  <c r="AI143" i="4" a="1"/>
  <c r="AI143" i="4" s="1"/>
  <c r="AI133" i="4" a="1"/>
  <c r="AI133" i="4" s="1"/>
  <c r="AI99" i="4" a="1"/>
  <c r="AI99" i="4" s="1"/>
  <c r="AI11" i="4" a="1"/>
  <c r="AI11" i="4" s="1"/>
  <c r="AI43" i="4" a="1"/>
  <c r="AI43" i="4" s="1"/>
  <c r="AI33" i="4" a="1"/>
  <c r="AI33" i="4" s="1"/>
  <c r="AI27" i="4" a="1"/>
  <c r="AI27" i="4" s="1"/>
  <c r="AI19" i="4" a="1"/>
  <c r="AI19" i="4" s="1"/>
  <c r="AI92" i="4" a="1"/>
  <c r="AI92" i="4" s="1"/>
  <c r="AI84" i="4" a="1"/>
  <c r="AI84" i="4" s="1"/>
  <c r="AI77" i="4" a="1"/>
  <c r="AI77" i="4" s="1"/>
  <c r="AI67" i="4" a="1"/>
  <c r="AI67" i="4" s="1"/>
  <c r="AI60" i="4" a="1"/>
  <c r="AI60" i="4" s="1"/>
  <c r="AI51" i="4" a="1"/>
  <c r="AI51" i="4" s="1"/>
  <c r="AI45" i="4" a="1"/>
  <c r="AI45" i="4" s="1"/>
  <c r="AI100" i="4" a="1"/>
  <c r="AI100" i="4" s="1"/>
  <c r="AI9" i="4" a="1"/>
  <c r="AI9" i="4" s="1"/>
  <c r="AI42" i="4" a="1"/>
  <c r="AI42" i="4" s="1"/>
  <c r="AI34" i="4" a="1"/>
  <c r="AI34" i="4" s="1"/>
  <c r="AI26" i="4" a="1"/>
  <c r="AI26" i="4" s="1"/>
  <c r="AI18" i="4" a="1"/>
  <c r="AI18" i="4" s="1"/>
  <c r="AI91" i="4" a="1"/>
  <c r="AI91" i="4" s="1"/>
  <c r="AI83" i="4" a="1"/>
  <c r="AI83" i="4" s="1"/>
  <c r="AI78" i="4" a="1"/>
  <c r="AI78" i="4" s="1"/>
  <c r="AI68" i="4" a="1"/>
  <c r="AI68" i="4" s="1"/>
  <c r="AI58" i="4" a="1"/>
  <c r="AI58" i="4" s="1"/>
  <c r="AI52" i="4" a="1"/>
  <c r="AI52" i="4" s="1"/>
  <c r="AI189" i="4" a="1"/>
  <c r="AI189" i="4" s="1"/>
  <c r="AI180" i="4" a="1"/>
  <c r="AI180" i="4" s="1"/>
  <c r="AI174" i="4" a="1"/>
  <c r="AI174" i="4" s="1"/>
  <c r="AI167" i="4" a="1"/>
  <c r="AI167" i="4" s="1"/>
  <c r="AI159" i="4" a="1"/>
  <c r="AI159" i="4" s="1"/>
  <c r="AI147" i="4" a="1"/>
  <c r="AI147" i="4" s="1"/>
  <c r="AI140" i="4" a="1"/>
  <c r="AI140" i="4" s="1"/>
  <c r="AI134" i="4" a="1"/>
  <c r="AI134" i="4" s="1"/>
  <c r="AI125" i="4" a="1"/>
  <c r="AI125" i="4" s="1"/>
  <c r="AI117" i="4" a="1"/>
  <c r="AI117" i="4" s="1"/>
  <c r="AI110" i="4" a="1"/>
  <c r="AI110" i="4" s="1"/>
  <c r="AI12" i="4" a="1"/>
  <c r="AI12" i="4" s="1"/>
  <c r="AI86" i="4" a="1"/>
  <c r="AI86" i="4" s="1"/>
  <c r="AI186" i="4" a="1"/>
  <c r="AI186" i="4" s="1"/>
  <c r="AI136" i="4" a="1"/>
  <c r="AI136" i="4" s="1"/>
  <c r="AI109" i="4" a="1"/>
  <c r="AI109" i="4" s="1"/>
  <c r="AI105" i="4" a="1"/>
  <c r="AI105" i="4" s="1"/>
  <c r="AI96" i="4" a="1"/>
  <c r="AI96" i="4" s="1"/>
  <c r="AI7" i="4" a="1"/>
  <c r="AI7" i="4" s="1"/>
  <c r="AI41" i="4" a="1"/>
  <c r="AI41" i="4" s="1"/>
  <c r="AI35" i="4" a="1"/>
  <c r="AI35" i="4" s="1"/>
  <c r="AI25" i="4" a="1"/>
  <c r="AI25" i="4" s="1"/>
  <c r="AI16" i="4" a="1"/>
  <c r="AI16" i="4" s="1"/>
  <c r="AI90" i="4" a="1"/>
  <c r="AI90" i="4" s="1"/>
  <c r="AI82" i="4" a="1"/>
  <c r="AI82" i="4" s="1"/>
  <c r="AI74" i="4" a="1"/>
  <c r="AI74" i="4" s="1"/>
  <c r="AI66" i="4" a="1"/>
  <c r="AI66" i="4" s="1"/>
  <c r="AI59" i="4" a="1"/>
  <c r="AI59" i="4" s="1"/>
  <c r="AI50" i="4" a="1"/>
  <c r="AI50" i="4" s="1"/>
  <c r="AI188" i="4" a="1"/>
  <c r="AI188" i="4" s="1"/>
  <c r="AI181" i="4" a="1"/>
  <c r="AI181" i="4" s="1"/>
  <c r="AI168" i="4" a="1"/>
  <c r="AI168" i="4" s="1"/>
  <c r="AI160" i="4" a="1"/>
  <c r="AI160" i="4" s="1"/>
  <c r="AI155" i="4" a="1"/>
  <c r="AI155" i="4" s="1"/>
  <c r="AI148" i="4" a="1"/>
  <c r="AI148" i="4" s="1"/>
  <c r="AI141" i="4" a="1"/>
  <c r="AI141" i="4" s="1"/>
  <c r="AI131" i="4" a="1"/>
  <c r="AI131" i="4" s="1"/>
  <c r="AI121" i="4" a="1"/>
  <c r="AI121" i="4" s="1"/>
  <c r="AI114" i="4" a="1"/>
  <c r="AI114" i="4" s="1"/>
  <c r="AI107" i="4" a="1"/>
  <c r="AI107" i="4" s="1"/>
  <c r="AI37" i="4" a="1"/>
  <c r="AI37" i="4" s="1"/>
  <c r="AI71" i="4" a="1"/>
  <c r="AI71" i="4" s="1"/>
  <c r="AI175" i="4" a="1"/>
  <c r="AI175" i="4" s="1"/>
  <c r="AI128" i="4" a="1"/>
  <c r="AI128" i="4" s="1"/>
  <c r="AI106" i="4" a="1"/>
  <c r="AI106" i="4" s="1"/>
  <c r="AI97" i="4" a="1"/>
  <c r="AI97" i="4" s="1"/>
  <c r="AI8" i="4" a="1"/>
  <c r="AI8" i="4" s="1"/>
  <c r="AI40" i="4" a="1"/>
  <c r="AI40" i="4" s="1"/>
  <c r="AI30" i="4" a="1"/>
  <c r="AI30" i="4" s="1"/>
  <c r="AI24" i="4" a="1"/>
  <c r="AI24" i="4" s="1"/>
  <c r="AI17" i="4" a="1"/>
  <c r="AI17" i="4" s="1"/>
  <c r="AI88" i="4" a="1"/>
  <c r="AI88" i="4" s="1"/>
  <c r="AI81" i="4" a="1"/>
  <c r="AI81" i="4" s="1"/>
  <c r="AI72" i="4" a="1"/>
  <c r="AI72" i="4" s="1"/>
  <c r="AI65" i="4" a="1"/>
  <c r="AI65" i="4" s="1"/>
  <c r="AI57" i="4" a="1"/>
  <c r="AI57" i="4" s="1"/>
  <c r="AI49" i="4" a="1"/>
  <c r="AI49" i="4" s="1"/>
  <c r="AI183" i="4" a="1"/>
  <c r="AI183" i="4" s="1"/>
  <c r="AI179" i="4" a="1"/>
  <c r="AI179" i="4" s="1"/>
  <c r="AI169" i="4" a="1"/>
  <c r="AI169" i="4" s="1"/>
  <c r="AI161" i="4" a="1"/>
  <c r="AI161" i="4" s="1"/>
  <c r="AI156" i="4" a="1"/>
  <c r="AI156" i="4" s="1"/>
  <c r="AI149" i="4" a="1"/>
  <c r="AI149" i="4" s="1"/>
  <c r="AI139" i="4" a="1"/>
  <c r="AI139" i="4" s="1"/>
  <c r="AI132" i="4" a="1"/>
  <c r="AI132" i="4" s="1"/>
  <c r="AI122" i="4" a="1"/>
  <c r="AI122" i="4" s="1"/>
  <c r="AI115" i="4" a="1"/>
  <c r="AI115" i="4" s="1"/>
  <c r="AI108" i="4" a="1"/>
  <c r="AI108" i="4" s="1"/>
  <c r="AI102" i="4" a="1"/>
  <c r="AI102" i="4" s="1"/>
  <c r="AI21" i="4" a="1"/>
  <c r="AI21" i="4" s="1"/>
  <c r="AI63" i="4" a="1"/>
  <c r="AI63" i="4" s="1"/>
  <c r="AI172" i="4" a="1"/>
  <c r="AI172" i="4" s="1"/>
  <c r="AI152" i="4" a="1"/>
  <c r="AI152" i="4" s="1"/>
  <c r="AI112" i="4" a="1"/>
  <c r="AI112" i="4" s="1"/>
  <c r="AI103" i="4" a="1"/>
  <c r="AI103" i="4" s="1"/>
  <c r="AI94" i="4" a="1"/>
  <c r="AI94" i="4" s="1"/>
  <c r="AI5" i="4" a="1"/>
  <c r="AI5" i="4" s="1"/>
  <c r="AI39" i="4" a="1"/>
  <c r="AI39" i="4" s="1"/>
  <c r="AI31" i="4" a="1"/>
  <c r="AI31" i="4" s="1"/>
  <c r="AI22" i="4" a="1"/>
  <c r="AI22" i="4" s="1"/>
  <c r="AI14" i="4" a="1"/>
  <c r="AI14" i="4" s="1"/>
  <c r="AI89" i="4" a="1"/>
  <c r="AI89" i="4" s="1"/>
  <c r="AI79" i="4" a="1"/>
  <c r="AI79" i="4" s="1"/>
  <c r="AI73" i="4" a="1"/>
  <c r="AI73" i="4" s="1"/>
  <c r="AI64" i="4" a="1"/>
  <c r="AI64" i="4" s="1"/>
  <c r="AI54" i="4" a="1"/>
  <c r="AI54" i="4" s="1"/>
  <c r="AI48" i="4" a="1"/>
  <c r="AI48" i="4" s="1"/>
  <c r="AI184" i="4" a="1"/>
  <c r="AI184" i="4" s="1"/>
  <c r="AI178" i="4" a="1"/>
  <c r="AI178" i="4" s="1"/>
  <c r="AI170" i="4" a="1"/>
  <c r="AI170" i="4" s="1"/>
  <c r="AI162" i="4" a="1"/>
  <c r="AI162" i="4" s="1"/>
  <c r="AI150" i="4" a="1"/>
  <c r="AI150" i="4" s="1"/>
  <c r="AI146" i="4" a="1"/>
  <c r="AI146" i="4" s="1"/>
  <c r="AI138" i="4" a="1"/>
  <c r="AI138" i="4" s="1"/>
  <c r="AI129" i="4" a="1"/>
  <c r="AI129" i="4" s="1"/>
  <c r="AI123" i="4" a="1"/>
  <c r="AI123" i="4" s="1"/>
  <c r="AI116" i="4" a="1"/>
  <c r="AI116" i="4" s="1"/>
  <c r="AI104" i="4" a="1"/>
  <c r="AI104" i="4" s="1"/>
  <c r="AI29" i="4" a="1"/>
  <c r="AI29" i="4" s="1"/>
  <c r="AI75" i="4" a="1"/>
  <c r="AI75" i="4" s="1"/>
  <c r="AI56" i="4" a="1"/>
  <c r="AI56" i="4" s="1"/>
  <c r="AI164" i="4" a="1"/>
  <c r="AI164" i="4" s="1"/>
  <c r="AI120" i="4" a="1"/>
  <c r="AI120" i="4" s="1"/>
  <c r="AI126" i="4" a="1"/>
  <c r="AI126" i="4" s="1"/>
  <c r="AI3" i="4" a="1"/>
  <c r="AI3" i="4" s="1"/>
  <c r="AI101" i="4" a="1"/>
  <c r="AI101" i="4" s="1"/>
  <c r="AI95" i="4" a="1"/>
  <c r="AI95" i="4" s="1"/>
  <c r="AI6" i="4" a="1"/>
  <c r="AI6" i="4" s="1"/>
  <c r="AI38" i="4" a="1"/>
  <c r="AI38" i="4" s="1"/>
  <c r="AI32" i="4" a="1"/>
  <c r="AI32" i="4" s="1"/>
  <c r="AI23" i="4" a="1"/>
  <c r="AI23" i="4" s="1"/>
  <c r="AI15" i="4" a="1"/>
  <c r="AI15" i="4" s="1"/>
  <c r="AI87" i="4" a="1"/>
  <c r="AI87" i="4" s="1"/>
  <c r="AI80" i="4" a="1"/>
  <c r="AI80" i="4" s="1"/>
  <c r="AI70" i="4" a="1"/>
  <c r="AI70" i="4" s="1"/>
  <c r="AI62" i="4" a="1"/>
  <c r="AI62" i="4" s="1"/>
  <c r="AI55" i="4" a="1"/>
  <c r="AI55" i="4" s="1"/>
  <c r="AI47" i="4" a="1"/>
  <c r="AI47" i="4" s="1"/>
  <c r="AI185" i="4" a="1"/>
  <c r="AI185" i="4" s="1"/>
  <c r="AI177" i="4" a="1"/>
  <c r="AI177" i="4" s="1"/>
  <c r="AI171" i="4" a="1"/>
  <c r="AI171" i="4" s="1"/>
  <c r="AI163" i="4" a="1"/>
  <c r="AI163" i="4" s="1"/>
  <c r="AI151" i="4" a="1"/>
  <c r="AI151" i="4" s="1"/>
  <c r="AI144" i="4" a="1"/>
  <c r="AI144" i="4" s="1"/>
  <c r="AI135" i="4" a="1"/>
  <c r="AI135" i="4" s="1"/>
  <c r="AI130" i="4" a="1"/>
  <c r="AI130" i="4" s="1"/>
  <c r="AI124" i="4" a="1"/>
  <c r="AI124" i="4" s="1"/>
  <c r="AI111" i="4" a="1"/>
  <c r="AI111" i="4" s="1"/>
  <c r="AI4" i="4" a="1"/>
  <c r="AI4" i="4" s="1"/>
  <c r="AI13" i="4" a="1"/>
  <c r="AI13" i="4" s="1"/>
  <c r="AI46" i="4" a="1"/>
  <c r="AI46" i="4" s="1"/>
  <c r="AI145" i="4" a="1"/>
  <c r="AI145" i="4" s="1"/>
  <c r="AI119" i="4" a="1"/>
  <c r="AI119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15F683-0D23-4030-908E-F35C90DB64FD}" keepAlive="1" name="Query - DepopSalesImport" description="Connection to the 'DepopSalesImport' query in the workbook." type="5" refreshedVersion="8" background="1" saveData="1">
    <dbPr connection="Provider=Microsoft.Mashup.OleDb.1;Data Source=$Workbook$;Location=DepopSalesImport;Extended Properties=&quot;&quot;" command="SELECT * FROM [DepopSalesImpor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<sst xmlns="http://schemas.openxmlformats.org/spreadsheetml/2006/main" count="2504" uniqueCount="902">
  <si>
    <t>Trip_ID</t>
  </si>
  <si>
    <t>Date</t>
  </si>
  <si>
    <t>Total_Spent</t>
  </si>
  <si>
    <t>Time_Spent
(min)</t>
  </si>
  <si>
    <t>Arrival_Time</t>
  </si>
  <si>
    <t>Busy</t>
  </si>
  <si>
    <t>Total_Items</t>
  </si>
  <si>
    <t>Total_Kept</t>
  </si>
  <si>
    <t>Total_To_Sell</t>
  </si>
  <si>
    <t>Total_Discarded</t>
  </si>
  <si>
    <t>Cost_Per_Sellable_Item</t>
  </si>
  <si>
    <t>Validation</t>
  </si>
  <si>
    <t>Low</t>
  </si>
  <si>
    <t>SKU</t>
  </si>
  <si>
    <t>Brand</t>
  </si>
  <si>
    <t>Size</t>
  </si>
  <si>
    <t>Gender</t>
  </si>
  <si>
    <t>Description</t>
  </si>
  <si>
    <t>Tags</t>
  </si>
  <si>
    <t>Condition Notes</t>
  </si>
  <si>
    <t>Category</t>
  </si>
  <si>
    <t>Status</t>
  </si>
  <si>
    <t>Old Navy</t>
  </si>
  <si>
    <t>M</t>
  </si>
  <si>
    <t>F</t>
  </si>
  <si>
    <t>Tops</t>
  </si>
  <si>
    <t>Keep</t>
  </si>
  <si>
    <t>L</t>
  </si>
  <si>
    <t>Bottoms</t>
  </si>
  <si>
    <t>Gap</t>
  </si>
  <si>
    <t>S</t>
  </si>
  <si>
    <t>American Eagle</t>
  </si>
  <si>
    <t>XS</t>
  </si>
  <si>
    <t>Express</t>
  </si>
  <si>
    <t>Abercrombie &amp; Fitch</t>
  </si>
  <si>
    <t>Discard</t>
  </si>
  <si>
    <t>Sell</t>
  </si>
  <si>
    <t>Coats/Jackets</t>
  </si>
  <si>
    <t>Tommy Hilfiger</t>
  </si>
  <si>
    <t>BKE</t>
  </si>
  <si>
    <t>Dresses</t>
  </si>
  <si>
    <t>Self Esteem</t>
  </si>
  <si>
    <t>XL</t>
  </si>
  <si>
    <t>Levi's</t>
  </si>
  <si>
    <t>Forever 21</t>
  </si>
  <si>
    <t>Free People</t>
  </si>
  <si>
    <t>Candie's</t>
  </si>
  <si>
    <t>Aerie</t>
  </si>
  <si>
    <t>Listing_ID</t>
  </si>
  <si>
    <t>Listing_Date</t>
  </si>
  <si>
    <t>Original_Price</t>
  </si>
  <si>
    <t>Condition</t>
  </si>
  <si>
    <t>Package_Size</t>
  </si>
  <si>
    <t>Used - Fair</t>
  </si>
  <si>
    <t>Used - Excellent</t>
  </si>
  <si>
    <t>Date of sale</t>
  </si>
  <si>
    <t>Time of sale</t>
  </si>
  <si>
    <t>Date of listing</t>
  </si>
  <si>
    <t>Bundle</t>
  </si>
  <si>
    <t>Bundle - amount of items</t>
  </si>
  <si>
    <t>Buyer</t>
  </si>
  <si>
    <t>Item price</t>
  </si>
  <si>
    <t>Buyer shipping cost</t>
  </si>
  <si>
    <t>Total</t>
  </si>
  <si>
    <t>USPS Cost</t>
  </si>
  <si>
    <t>Depop fee</t>
  </si>
  <si>
    <t>Depop Payments fee</t>
  </si>
  <si>
    <t>Buyer Marketplace Fee</t>
  </si>
  <si>
    <t>Boosting fee</t>
  </si>
  <si>
    <t>Payment type</t>
  </si>
  <si>
    <t>Estimated payout date</t>
  </si>
  <si>
    <t>Payout arrival date</t>
  </si>
  <si>
    <t>US Sales tax</t>
  </si>
  <si>
    <t>Refunded to buyer amount</t>
  </si>
  <si>
    <t>Fees refunded to seller</t>
  </si>
  <si>
    <t>Days_to_Sell</t>
  </si>
  <si>
    <t>Alloc_Shipping</t>
  </si>
  <si>
    <t>Alloc_Fees</t>
  </si>
  <si>
    <t>Name</t>
  </si>
  <si>
    <t>Address Line 1</t>
  </si>
  <si>
    <t>Address Line 2</t>
  </si>
  <si>
    <t>City</t>
  </si>
  <si>
    <t>State</t>
  </si>
  <si>
    <t>Post Code</t>
  </si>
  <si>
    <t>Country</t>
  </si>
  <si>
    <t>No</t>
  </si>
  <si>
    <t>STRIPE</t>
  </si>
  <si>
    <t>Footwear</t>
  </si>
  <si>
    <t>US</t>
  </si>
  <si>
    <t>8</t>
  </si>
  <si>
    <t>Victoria's Secret</t>
  </si>
  <si>
    <t>KY</t>
  </si>
  <si>
    <t>FL</t>
  </si>
  <si>
    <t>MI</t>
  </si>
  <si>
    <t>Yes</t>
  </si>
  <si>
    <t>2</t>
  </si>
  <si>
    <t>OR</t>
  </si>
  <si>
    <t>TX</t>
  </si>
  <si>
    <t>Other</t>
  </si>
  <si>
    <t>10</t>
  </si>
  <si>
    <t>PA</t>
  </si>
  <si>
    <t>Nike</t>
  </si>
  <si>
    <t>OH</t>
  </si>
  <si>
    <t>Ralph Lauren</t>
  </si>
  <si>
    <t>MO</t>
  </si>
  <si>
    <t>NY</t>
  </si>
  <si>
    <t>9</t>
  </si>
  <si>
    <t>LA</t>
  </si>
  <si>
    <t>CA</t>
  </si>
  <si>
    <t>MA</t>
  </si>
  <si>
    <t>WA</t>
  </si>
  <si>
    <t>Swimwear</t>
  </si>
  <si>
    <t>NJ</t>
  </si>
  <si>
    <t>LOFT</t>
  </si>
  <si>
    <t>MD</t>
  </si>
  <si>
    <t>J.Crew</t>
  </si>
  <si>
    <t>Accessories</t>
  </si>
  <si>
    <t>AZ</t>
  </si>
  <si>
    <t>GA</t>
  </si>
  <si>
    <t>IN</t>
  </si>
  <si>
    <t>CO</t>
  </si>
  <si>
    <t>Calvin Klein</t>
  </si>
  <si>
    <t>TN</t>
  </si>
  <si>
    <t>SC</t>
  </si>
  <si>
    <t>Banana Republic</t>
  </si>
  <si>
    <t>XXS</t>
  </si>
  <si>
    <t>Used - Good</t>
  </si>
  <si>
    <t>Brand New</t>
  </si>
  <si>
    <t>T002I004</t>
  </si>
  <si>
    <t>Adidas</t>
  </si>
  <si>
    <t>Apt. 9</t>
  </si>
  <si>
    <t>SO Clothing</t>
  </si>
  <si>
    <t>Deb</t>
  </si>
  <si>
    <t>Cotton Natural</t>
  </si>
  <si>
    <t>Brand_Lookup</t>
  </si>
  <si>
    <t>Category_Lookup</t>
  </si>
  <si>
    <t>Match_Key</t>
  </si>
  <si>
    <t>Medium</t>
  </si>
  <si>
    <t>S/M</t>
  </si>
  <si>
    <t>navy sunglasses</t>
  </si>
  <si>
    <t>pink fitted romper</t>
  </si>
  <si>
    <t>Jumpsuits/Rompers</t>
  </si>
  <si>
    <t>Zara</t>
  </si>
  <si>
    <t>green joggers</t>
  </si>
  <si>
    <t>Patagonia</t>
  </si>
  <si>
    <t>purple wrap dress</t>
  </si>
  <si>
    <t>plaid cotton jeans</t>
  </si>
  <si>
    <t>navy vintage tank top</t>
  </si>
  <si>
    <t>striped boho tank top</t>
  </si>
  <si>
    <t>green flats</t>
  </si>
  <si>
    <t>red vintage jeans</t>
  </si>
  <si>
    <t>H&amp;M</t>
  </si>
  <si>
    <t>striped denim tank top</t>
  </si>
  <si>
    <t>olive cotton blouse</t>
  </si>
  <si>
    <t>gray boho dress</t>
  </si>
  <si>
    <t>coral leggings</t>
  </si>
  <si>
    <t>Urban Outfitters</t>
  </si>
  <si>
    <t>striped henley</t>
  </si>
  <si>
    <t>striped vintage cami</t>
  </si>
  <si>
    <t>stretched out</t>
  </si>
  <si>
    <t>blue button-down shirt</t>
  </si>
  <si>
    <t>bleach mark</t>
  </si>
  <si>
    <t>coral y2k tank top</t>
  </si>
  <si>
    <t>plaid bodycon dress</t>
  </si>
  <si>
    <t>coral long sleeve boho shirt</t>
  </si>
  <si>
    <t>black denim blouse</t>
  </si>
  <si>
    <t>brown bodycon dress</t>
  </si>
  <si>
    <t>Hollister</t>
  </si>
  <si>
    <t>7</t>
  </si>
  <si>
    <t>striped flats</t>
  </si>
  <si>
    <t>M/L</t>
  </si>
  <si>
    <t>pink athletic scarf</t>
  </si>
  <si>
    <t>green oversized cami</t>
  </si>
  <si>
    <t>white mini dress</t>
  </si>
  <si>
    <t>brown boho romper</t>
  </si>
  <si>
    <t>pink cotton dress</t>
  </si>
  <si>
    <t>tan lace jeans</t>
  </si>
  <si>
    <t>gray fitted romper</t>
  </si>
  <si>
    <t>pink overall shorts</t>
  </si>
  <si>
    <t>One Size</t>
  </si>
  <si>
    <t>cream belt</t>
  </si>
  <si>
    <t>red windbreaker</t>
  </si>
  <si>
    <t>tan cargo pants</t>
  </si>
  <si>
    <t>hole in seam</t>
  </si>
  <si>
    <t>purple long sleeve fitted shirt</t>
  </si>
  <si>
    <t>red athletic dress</t>
  </si>
  <si>
    <t>cream crossbody bag</t>
  </si>
  <si>
    <t>white wide leg pants</t>
  </si>
  <si>
    <t>purple knit skirt</t>
  </si>
  <si>
    <t>tan cotton dress</t>
  </si>
  <si>
    <t>green leggings</t>
  </si>
  <si>
    <t>coral wide leg pants</t>
  </si>
  <si>
    <t>olive cropped denim top</t>
  </si>
  <si>
    <t>heavy pilling</t>
  </si>
  <si>
    <t>navy leggings</t>
  </si>
  <si>
    <t>tan maxi dress</t>
  </si>
  <si>
    <t>navy denim cami</t>
  </si>
  <si>
    <t>coral sundress</t>
  </si>
  <si>
    <t>teal casual dress</t>
  </si>
  <si>
    <t>olive boho scarf</t>
  </si>
  <si>
    <t>tie-dye sundress</t>
  </si>
  <si>
    <t>olive swim cover-up</t>
  </si>
  <si>
    <t>brown sandals</t>
  </si>
  <si>
    <t>navy button-down shirt</t>
  </si>
  <si>
    <t>teal joggers</t>
  </si>
  <si>
    <t>plaid knit jeans</t>
  </si>
  <si>
    <t>striped joggers</t>
  </si>
  <si>
    <t>burgundy sundress</t>
  </si>
  <si>
    <t>pink sundress</t>
  </si>
  <si>
    <t>teal boho bikini top</t>
  </si>
  <si>
    <t>cream lace sweater</t>
  </si>
  <si>
    <t>The North Face</t>
  </si>
  <si>
    <t>navy wide leg pants</t>
  </si>
  <si>
    <t>white vintage shorts</t>
  </si>
  <si>
    <t>burgundy graphic tee</t>
  </si>
  <si>
    <t>blue one-piece swimsuit</t>
  </si>
  <si>
    <t>red puffer vest</t>
  </si>
  <si>
    <t>green henley</t>
  </si>
  <si>
    <t>red heels</t>
  </si>
  <si>
    <t>cream button-down shirt</t>
  </si>
  <si>
    <t>Guess</t>
  </si>
  <si>
    <t>olive overall shorts</t>
  </si>
  <si>
    <t>striped denim cami</t>
  </si>
  <si>
    <t>navy athletic romper</t>
  </si>
  <si>
    <t>burgundy lace jeans</t>
  </si>
  <si>
    <t>striped wide leg pants</t>
  </si>
  <si>
    <t>burgundy fitted tank top</t>
  </si>
  <si>
    <t>gray joggers</t>
  </si>
  <si>
    <t>purple cargo pants</t>
  </si>
  <si>
    <t>red cropped oversized top</t>
  </si>
  <si>
    <t>brown cardigan</t>
  </si>
  <si>
    <t>tan denim jacket</t>
  </si>
  <si>
    <t>white cotton top</t>
  </si>
  <si>
    <t>black ribbed bikini top</t>
  </si>
  <si>
    <t>burgundy wide leg pants</t>
  </si>
  <si>
    <t>pink boho jeans</t>
  </si>
  <si>
    <t>tie-dye swim cover-up</t>
  </si>
  <si>
    <t>tan ribbed sweater</t>
  </si>
  <si>
    <t>green maxi dress</t>
  </si>
  <si>
    <t>olive henley</t>
  </si>
  <si>
    <t>navy fitted sweater</t>
  </si>
  <si>
    <t>teal y2k tank top</t>
  </si>
  <si>
    <t>white boho dress</t>
  </si>
  <si>
    <t>red sundress</t>
  </si>
  <si>
    <t>navy corduroy pants</t>
  </si>
  <si>
    <t>stain on front</t>
  </si>
  <si>
    <t>plaid denim jacket</t>
  </si>
  <si>
    <t>burgundy maxi dress</t>
  </si>
  <si>
    <t>navy swim cover-up</t>
  </si>
  <si>
    <t>teal cropped oversized top</t>
  </si>
  <si>
    <t>olive y2k dress</t>
  </si>
  <si>
    <t>black button-down shirt</t>
  </si>
  <si>
    <t>olive corduroy pants</t>
  </si>
  <si>
    <t>red corduroy pants</t>
  </si>
  <si>
    <t>black bodycon dress</t>
  </si>
  <si>
    <t>pink denim blouse</t>
  </si>
  <si>
    <t>burgundy casual sweater</t>
  </si>
  <si>
    <t>navy graphic tee</t>
  </si>
  <si>
    <t>tan oversized sneakers</t>
  </si>
  <si>
    <t>broken zipper</t>
  </si>
  <si>
    <t>striped sundress</t>
  </si>
  <si>
    <t>green mini dress</t>
  </si>
  <si>
    <t>burgundy cargo pants</t>
  </si>
  <si>
    <t>burgundy leggings</t>
  </si>
  <si>
    <t>floral denim scarf</t>
  </si>
  <si>
    <t>burgundy athletic blouse</t>
  </si>
  <si>
    <t>striped wrap dress</t>
  </si>
  <si>
    <t>white bodycon dress</t>
  </si>
  <si>
    <t>navy wrap dress</t>
  </si>
  <si>
    <t>gray cotton romper</t>
  </si>
  <si>
    <t>tie-dye jumpsuit</t>
  </si>
  <si>
    <t>brown sundress</t>
  </si>
  <si>
    <t>navy denim romper</t>
  </si>
  <si>
    <t>tan hat</t>
  </si>
  <si>
    <t>8.5</t>
  </si>
  <si>
    <t>tan heels</t>
  </si>
  <si>
    <t>burgundy sunglasses</t>
  </si>
  <si>
    <t>white wrap dress</t>
  </si>
  <si>
    <t>cream mini dress</t>
  </si>
  <si>
    <t>floral cropped cotton top</t>
  </si>
  <si>
    <t>cream boots</t>
  </si>
  <si>
    <t>brown cargo pants</t>
  </si>
  <si>
    <t>black sundress</t>
  </si>
  <si>
    <t>olive oversized dress</t>
  </si>
  <si>
    <t>pink heels</t>
  </si>
  <si>
    <t>9.5</t>
  </si>
  <si>
    <t>purple casual sneakers</t>
  </si>
  <si>
    <t>purple sunglasses</t>
  </si>
  <si>
    <t>pink maxi dress</t>
  </si>
  <si>
    <t>cream denim jacket</t>
  </si>
  <si>
    <t>striped graphic tee</t>
  </si>
  <si>
    <t>gray cropped ribbed top</t>
  </si>
  <si>
    <t>red button-down shirt</t>
  </si>
  <si>
    <t>floral corduroy pants</t>
  </si>
  <si>
    <t>tan button-down shirt</t>
  </si>
  <si>
    <t>red henley</t>
  </si>
  <si>
    <t>floral bodycon dress</t>
  </si>
  <si>
    <t>teal denim skirt</t>
  </si>
  <si>
    <t>cream knit shorts</t>
  </si>
  <si>
    <t>navy y2k sweater</t>
  </si>
  <si>
    <t>teal mini dress</t>
  </si>
  <si>
    <t>green button-down shirt</t>
  </si>
  <si>
    <t>red cropped athletic top</t>
  </si>
  <si>
    <t>tie-dye overall shorts</t>
  </si>
  <si>
    <t>black long sleeve boho shirt</t>
  </si>
  <si>
    <t>pink denim jacket</t>
  </si>
  <si>
    <t>floral casual blouse</t>
  </si>
  <si>
    <t>plaid cargo pants</t>
  </si>
  <si>
    <t>brown denim blouse</t>
  </si>
  <si>
    <t>red bodycon dress</t>
  </si>
  <si>
    <t>brown graphic tee</t>
  </si>
  <si>
    <t>floral cotton skirt</t>
  </si>
  <si>
    <t>teal vintage romper</t>
  </si>
  <si>
    <t>teal henley</t>
  </si>
  <si>
    <t>olive oversized cami</t>
  </si>
  <si>
    <t>coral cotton cami</t>
  </si>
  <si>
    <t>floral fitted sneakers</t>
  </si>
  <si>
    <t>gray leggings</t>
  </si>
  <si>
    <t>blue fitted blouse</t>
  </si>
  <si>
    <t>tie-dye bodycon dress</t>
  </si>
  <si>
    <t>brown long sleeve ribbed shirt</t>
  </si>
  <si>
    <t>tan cropped y2k top</t>
  </si>
  <si>
    <t>T001I002</t>
  </si>
  <si>
    <t>minor fading</t>
  </si>
  <si>
    <t>T001I008</t>
  </si>
  <si>
    <t>Like New</t>
  </si>
  <si>
    <t>T001I005</t>
  </si>
  <si>
    <t>T001I001</t>
  </si>
  <si>
    <t>T001I010</t>
  </si>
  <si>
    <t>T001I009</t>
  </si>
  <si>
    <t>small mark on back</t>
  </si>
  <si>
    <t>T001I011</t>
  </si>
  <si>
    <t>like new condition</t>
  </si>
  <si>
    <t>T001I007</t>
  </si>
  <si>
    <t>T001I004</t>
  </si>
  <si>
    <t>T001I003</t>
  </si>
  <si>
    <t>T002I003</t>
  </si>
  <si>
    <t>T002I006</t>
  </si>
  <si>
    <t>T002I001</t>
  </si>
  <si>
    <t>T002I008</t>
  </si>
  <si>
    <t>tags still attached</t>
  </si>
  <si>
    <t>T002I009</t>
  </si>
  <si>
    <t>T002I002</t>
  </si>
  <si>
    <t>T002I010</t>
  </si>
  <si>
    <t>T002I005</t>
  </si>
  <si>
    <t>T002I007</t>
  </si>
  <si>
    <t>T003I001</t>
  </si>
  <si>
    <t>T003I004</t>
  </si>
  <si>
    <t>light wear</t>
  </si>
  <si>
    <t>T003I002</t>
  </si>
  <si>
    <t>T004I001</t>
  </si>
  <si>
    <t>T004I003</t>
  </si>
  <si>
    <t>barely worn</t>
  </si>
  <si>
    <t>T004I004</t>
  </si>
  <si>
    <t>T004I002</t>
  </si>
  <si>
    <t>T005I002</t>
  </si>
  <si>
    <t>small snag near hem</t>
  </si>
  <si>
    <t>T005I003</t>
  </si>
  <si>
    <t>slight fading</t>
  </si>
  <si>
    <t>T006I007</t>
  </si>
  <si>
    <t>T006I001</t>
  </si>
  <si>
    <t>T006I011</t>
  </si>
  <si>
    <t>T006I010</t>
  </si>
  <si>
    <t>T005I001</t>
  </si>
  <si>
    <t>T006I008</t>
  </si>
  <si>
    <t>T006I005</t>
  </si>
  <si>
    <t>T006I003</t>
  </si>
  <si>
    <t>T006I002</t>
  </si>
  <si>
    <t>T007I001</t>
  </si>
  <si>
    <t>T006I004</t>
  </si>
  <si>
    <t>T006I006</t>
  </si>
  <si>
    <t>T007I009</t>
  </si>
  <si>
    <t>T007I002</t>
  </si>
  <si>
    <t>T007I007</t>
  </si>
  <si>
    <t>T007I004</t>
  </si>
  <si>
    <t>T007I005</t>
  </si>
  <si>
    <t>T007I003</t>
  </si>
  <si>
    <t>T007I008</t>
  </si>
  <si>
    <t>T008I001</t>
  </si>
  <si>
    <t>T008I002</t>
  </si>
  <si>
    <t>T009I008</t>
  </si>
  <si>
    <t>tag is worn</t>
  </si>
  <si>
    <t>T008I003</t>
  </si>
  <si>
    <t>T009I001</t>
  </si>
  <si>
    <t>T009I003</t>
  </si>
  <si>
    <t>T009I007</t>
  </si>
  <si>
    <t>T009I006</t>
  </si>
  <si>
    <t>T010I005</t>
  </si>
  <si>
    <t>T009I005</t>
  </si>
  <si>
    <t>T010I008</t>
  </si>
  <si>
    <t>T010I003</t>
  </si>
  <si>
    <t>T010I002</t>
  </si>
  <si>
    <t>T011I001</t>
  </si>
  <si>
    <t>T010I004</t>
  </si>
  <si>
    <t>light stain on front</t>
  </si>
  <si>
    <t>T010I006</t>
  </si>
  <si>
    <t>T012I001</t>
  </si>
  <si>
    <t>T012I008</t>
  </si>
  <si>
    <t>T013I003</t>
  </si>
  <si>
    <t>T013I004</t>
  </si>
  <si>
    <t>T012I006</t>
  </si>
  <si>
    <t>T012I005</t>
  </si>
  <si>
    <t>T012I007</t>
  </si>
  <si>
    <t>T013I002</t>
  </si>
  <si>
    <t>T013I001</t>
  </si>
  <si>
    <t>T014I009</t>
  </si>
  <si>
    <t>T014I004</t>
  </si>
  <si>
    <t>T014I006</t>
  </si>
  <si>
    <t>T014I001</t>
  </si>
  <si>
    <t>T014I008</t>
  </si>
  <si>
    <t>T014I002</t>
  </si>
  <si>
    <t>minor pilling</t>
  </si>
  <si>
    <t>T014I005</t>
  </si>
  <si>
    <t>T014I003</t>
  </si>
  <si>
    <t>T015I006</t>
  </si>
  <si>
    <t>T015I003</t>
  </si>
  <si>
    <t>T015I004</t>
  </si>
  <si>
    <t>T015I001</t>
  </si>
  <si>
    <t>T015I002</t>
  </si>
  <si>
    <t>T015I005</t>
  </si>
  <si>
    <t>02:15 PM</t>
  </si>
  <si>
    <t>kayla62</t>
  </si>
  <si>
    <t>Express red vintage jeans in size m
#minimalist #streetwear #y2k #thrift</t>
  </si>
  <si>
    <t>Colleen Nguyen</t>
  </si>
  <si>
    <t>05641 Robin Port</t>
  </si>
  <si>
    <t>Jasonfort</t>
  </si>
  <si>
    <t>52357</t>
  </si>
  <si>
    <t>06:35 PM</t>
  </si>
  <si>
    <t>david_nielsen</t>
  </si>
  <si>
    <t>J.Crew navy sunglasses in size s/m
#aesthetic #grunge #thrift #boho #vintage</t>
  </si>
  <si>
    <t>Andrew Stevens</t>
  </si>
  <si>
    <t>495 Janet Cape</t>
  </si>
  <si>
    <t>Port Keith</t>
  </si>
  <si>
    <t>10959</t>
  </si>
  <si>
    <t>09:22 AM</t>
  </si>
  <si>
    <t>shawn_flowers</t>
  </si>
  <si>
    <t>H&amp;M striped denim tank top in size l
#retro #minimalist #boho #thrift</t>
  </si>
  <si>
    <t>Sharon James</t>
  </si>
  <si>
    <t>5341 Amanda Gardens</t>
  </si>
  <si>
    <t>South Noah</t>
  </si>
  <si>
    <t>AL</t>
  </si>
  <si>
    <t>84387</t>
  </si>
  <si>
    <t>12:26 PM</t>
  </si>
  <si>
    <t>styledonald</t>
  </si>
  <si>
    <t>BKE striped boho tank top in size s
#cottagecore #vintage #y2k #casual</t>
  </si>
  <si>
    <t>Maria Thomas</t>
  </si>
  <si>
    <t>969 Cox Dam Suite 101</t>
  </si>
  <si>
    <t>Lake Ernest</t>
  </si>
  <si>
    <t>89693</t>
  </si>
  <si>
    <t>03:39 PM</t>
  </si>
  <si>
    <t>stylerobert</t>
  </si>
  <si>
    <t>Deb plaid cotton jeans in size s
#minimalist #preppy #streetwear</t>
  </si>
  <si>
    <t>Michelle Miles</t>
  </si>
  <si>
    <t>402 Peterson Drives Apt. 511</t>
  </si>
  <si>
    <t>Davisstad</t>
  </si>
  <si>
    <t>79632</t>
  </si>
  <si>
    <t>08:58 AM</t>
  </si>
  <si>
    <t>wendystyle</t>
  </si>
  <si>
    <t>Zara green joggers in size s
#minimalist #boho #vintage</t>
  </si>
  <si>
    <t>Arthur James</t>
  </si>
  <si>
    <t>018 Mack Junctions Apt. 462</t>
  </si>
  <si>
    <t>Smithview</t>
  </si>
  <si>
    <t>IA</t>
  </si>
  <si>
    <t>66113</t>
  </si>
  <si>
    <t>10:59 AM</t>
  </si>
  <si>
    <t>colleenski</t>
  </si>
  <si>
    <t>Other black denim blouse in size s
#boho #sustainable #y2k #grunge #thrift</t>
  </si>
  <si>
    <t>Katie Rodriguez</t>
  </si>
  <si>
    <t>52880 Burns Creek</t>
  </si>
  <si>
    <t>Natashaport</t>
  </si>
  <si>
    <t>31886</t>
  </si>
  <si>
    <t>08:45 AM</t>
  </si>
  <si>
    <t>jeffreyfinds</t>
  </si>
  <si>
    <t>Levi's green flats in size 10
#streetwear #retro #grunge</t>
  </si>
  <si>
    <t>Allison Hill</t>
  </si>
  <si>
    <t>819 Johnson Course</t>
  </si>
  <si>
    <t>East William</t>
  </si>
  <si>
    <t>03979</t>
  </si>
  <si>
    <t>03:21 PM</t>
  </si>
  <si>
    <t>vintagejohn</t>
  </si>
  <si>
    <t>SO Clothing brown bodycon dress in size xs
#cottagecore #y2k</t>
  </si>
  <si>
    <t>Shannon Jones</t>
  </si>
  <si>
    <t>82997 Kristen Valley Suite 311</t>
  </si>
  <si>
    <t>Gomezchester</t>
  </si>
  <si>
    <t>61714</t>
  </si>
  <si>
    <t>06:26 PM</t>
  </si>
  <si>
    <t>melissagar</t>
  </si>
  <si>
    <t>Adidas coral long sleeve boho shirt in size l
#retro #streetwear</t>
  </si>
  <si>
    <t>Angela Morton</t>
  </si>
  <si>
    <t>32677 Michelle Circle</t>
  </si>
  <si>
    <t>South Aaron</t>
  </si>
  <si>
    <t>51674</t>
  </si>
  <si>
    <t>12:25 PM</t>
  </si>
  <si>
    <t>styledebbie</t>
  </si>
  <si>
    <t>Apt. 9 brown boho romper in size xs
#sustainable #thrift #streetwear</t>
  </si>
  <si>
    <t>Amy Valdez</t>
  </si>
  <si>
    <t>5133 Amanda Dam</t>
  </si>
  <si>
    <t>Whitemouth</t>
  </si>
  <si>
    <t>33243</t>
  </si>
  <si>
    <t>06:04 PM</t>
  </si>
  <si>
    <t>rodney_bernard</t>
  </si>
  <si>
    <t>Levi's pink cotton dress in size m
#thrift #grunge #retro</t>
  </si>
  <si>
    <t>Richard Gibson</t>
  </si>
  <si>
    <t>34309 Julie Centers Apt. 978</t>
  </si>
  <si>
    <t>North Susan</t>
  </si>
  <si>
    <t>11001</t>
  </si>
  <si>
    <t>01:45 PM</t>
  </si>
  <si>
    <t>michelle_powell</t>
  </si>
  <si>
    <t>Victoria's Secret green oversized cami in size m
#streetwear #casual #vintage #retro #preppy</t>
  </si>
  <si>
    <t>Andrea Jones</t>
  </si>
  <si>
    <t>909 Robert Prairie</t>
  </si>
  <si>
    <t>Sarahborough</t>
  </si>
  <si>
    <t>88283</t>
  </si>
  <si>
    <t>03:45 PM</t>
  </si>
  <si>
    <t>christophertuc</t>
  </si>
  <si>
    <t>Gap plaid bodycon dress in size m
#casual #cottagecore #aesthetic</t>
  </si>
  <si>
    <t>Shawn Arroyo</t>
  </si>
  <si>
    <t>227 Joseph Well</t>
  </si>
  <si>
    <t>Brandtside</t>
  </si>
  <si>
    <t>99495</t>
  </si>
  <si>
    <t>11:20 PM</t>
  </si>
  <si>
    <t>wandasan</t>
  </si>
  <si>
    <t>J.Crew white mini dress in size l
#boho #aesthetic</t>
  </si>
  <si>
    <t>Christina Collins</t>
  </si>
  <si>
    <t>713 Caleb Brooks Apt. 930</t>
  </si>
  <si>
    <t>Lake Crystalbury</t>
  </si>
  <si>
    <t>09335</t>
  </si>
  <si>
    <t>04:46 PM</t>
  </si>
  <si>
    <t>emily15</t>
  </si>
  <si>
    <t>Free People purple long sleeve fitted shirt in size s
#grunge #minimalist #y2k #retro #vintage</t>
  </si>
  <si>
    <t>Cynthia Foster</t>
  </si>
  <si>
    <t>5107 Charles Forest Suite 251</t>
  </si>
  <si>
    <t>West Justin</t>
  </si>
  <si>
    <t>57934</t>
  </si>
  <si>
    <t>06:07 PM</t>
  </si>
  <si>
    <t>josephfre</t>
  </si>
  <si>
    <t>H&amp;M coral sundress in size s
#preppy #vintage</t>
  </si>
  <si>
    <t>Christina Walters</t>
  </si>
  <si>
    <t>64005 Dana Greens</t>
  </si>
  <si>
    <t>Lake Scott</t>
  </si>
  <si>
    <t>92994</t>
  </si>
  <si>
    <t>09:59 AM</t>
  </si>
  <si>
    <t>vanessafinds</t>
  </si>
  <si>
    <t>SO Clothing white wide leg pants in size m
#streetwear #aesthetic #minimalist #y2k #retro</t>
  </si>
  <si>
    <t>Michele Carr</t>
  </si>
  <si>
    <t>841 Joseph Coves</t>
  </si>
  <si>
    <t>West Juan</t>
  </si>
  <si>
    <t>28108</t>
  </si>
  <si>
    <t>05:15 PM</t>
  </si>
  <si>
    <t>stylegregory</t>
  </si>
  <si>
    <t>Victoria's Secret blue one-piece swimsuit in size m
#retro #casual</t>
  </si>
  <si>
    <t>Ashley Waller</t>
  </si>
  <si>
    <t>19655 Obrien Pass Apt. 693</t>
  </si>
  <si>
    <t>Bradleychester</t>
  </si>
  <si>
    <t>00722</t>
  </si>
  <si>
    <t>12:48 PM</t>
  </si>
  <si>
    <t>robertshop</t>
  </si>
  <si>
    <t>BKE cream lace sweater in size s
#aesthetic #retro #minimalist #thrift #preppy</t>
  </si>
  <si>
    <t>Edward Martinez</t>
  </si>
  <si>
    <t>299 Sullivan Village Apt. 443</t>
  </si>
  <si>
    <t>Floydmouth</t>
  </si>
  <si>
    <t>61447</t>
  </si>
  <si>
    <t>01:21 PM</t>
  </si>
  <si>
    <t>laura44</t>
  </si>
  <si>
    <t>American Eagle teal boho bikini top in size m
#cottagecore #casual #minimalist #vintage #y2k</t>
  </si>
  <si>
    <t>Michael Dixon</t>
  </si>
  <si>
    <t>148 Davis Terrace</t>
  </si>
  <si>
    <t>Lake Lance</t>
  </si>
  <si>
    <t>26601</t>
  </si>
  <si>
    <t>08:15 AM</t>
  </si>
  <si>
    <t>lisa27</t>
  </si>
  <si>
    <t>Adidas pink sundress in size m
#sustainable #minimalist #casual #grunge</t>
  </si>
  <si>
    <t>Shannon Walker</t>
  </si>
  <si>
    <t>4330 Raymond Harbors Apt. 458</t>
  </si>
  <si>
    <t>Frazierside</t>
  </si>
  <si>
    <t>43905</t>
  </si>
  <si>
    <t>01:30 PM</t>
  </si>
  <si>
    <t>cherylmac</t>
  </si>
  <si>
    <t>Hollister burgundy fitted tank top in size l
#minimalist #streetwear</t>
  </si>
  <si>
    <t>Angel Riggs</t>
  </si>
  <si>
    <t>9367 Sanchez Shoal Apt. 163</t>
  </si>
  <si>
    <t>Port Susan</t>
  </si>
  <si>
    <t>68390</t>
  </si>
  <si>
    <t>09:43 PM</t>
  </si>
  <si>
    <t>vintagenicole</t>
  </si>
  <si>
    <t>Tommy Hilfiger navy denim cami in size xs
#sustainable #minimalist #y2k #vintage</t>
  </si>
  <si>
    <t>Adam Jones</t>
  </si>
  <si>
    <t>059 Russell Canyon</t>
  </si>
  <si>
    <t>Michaelton</t>
  </si>
  <si>
    <t>47399</t>
  </si>
  <si>
    <t>08:39 PM</t>
  </si>
  <si>
    <t>kimberly_henson</t>
  </si>
  <si>
    <t>Express navy button-down shirt in size s
#streetwear #casual</t>
  </si>
  <si>
    <t>David Garcia</t>
  </si>
  <si>
    <t>232 Nicole Burg Apt. 563</t>
  </si>
  <si>
    <t>Erikville</t>
  </si>
  <si>
    <t>50641</t>
  </si>
  <si>
    <t>07:26 AM</t>
  </si>
  <si>
    <t>elizabeth_miller</t>
  </si>
  <si>
    <t>Zara red cropped oversized top in size s
#grunge #vintage #casual #cottagecore #streetwear</t>
  </si>
  <si>
    <t>Ms. Susan Vargas</t>
  </si>
  <si>
    <t>72046 Lewis Islands Suite 646</t>
  </si>
  <si>
    <t>Maryfort</t>
  </si>
  <si>
    <t>03041</t>
  </si>
  <si>
    <t>12:40 PM</t>
  </si>
  <si>
    <t>shelbywear</t>
  </si>
  <si>
    <t>H&amp;M olive swim cover-up in size m
#minimalist #aesthetic #preppy #thrift</t>
  </si>
  <si>
    <t>Renee Mcdaniel</t>
  </si>
  <si>
    <t>6159 Alvarado Crossing</t>
  </si>
  <si>
    <t>Williamchester</t>
  </si>
  <si>
    <t>43254</t>
  </si>
  <si>
    <t>06:10 PM</t>
  </si>
  <si>
    <t>jeffrey77</t>
  </si>
  <si>
    <t>J.Crew white cotton top in size l
#y2k #cottagecore</t>
  </si>
  <si>
    <t>Kimberly Morrison</t>
  </si>
  <si>
    <t>6706 Caldwell Union</t>
  </si>
  <si>
    <t>Ramseymouth</t>
  </si>
  <si>
    <t>17229</t>
  </si>
  <si>
    <t>05:58 PM</t>
  </si>
  <si>
    <t>jonathonwri</t>
  </si>
  <si>
    <t>Gap burgundy wide leg pants in size s
#boho #retro</t>
  </si>
  <si>
    <t>Natasha Wells</t>
  </si>
  <si>
    <t>734 Jones Heights Apt. 455</t>
  </si>
  <si>
    <t>East Edwardfurt</t>
  </si>
  <si>
    <t>91458</t>
  </si>
  <si>
    <t>06:17 PM</t>
  </si>
  <si>
    <t>jonathanwoo</t>
  </si>
  <si>
    <t>Zara navy fitted sweater in size s
#cottagecore #y2k #preppy #vintage</t>
  </si>
  <si>
    <t>Travis Marshall</t>
  </si>
  <si>
    <t>41904 Sanders Stravenue</t>
  </si>
  <si>
    <t>North Brittany</t>
  </si>
  <si>
    <t>82714</t>
  </si>
  <si>
    <t>01:25 PM</t>
  </si>
  <si>
    <t>davidwear</t>
  </si>
  <si>
    <t>The North Face navy wide leg pants in size l
#boho #preppy #grunge #retro</t>
  </si>
  <si>
    <t>Justin Lowery</t>
  </si>
  <si>
    <t>8895 Salazar Stravenue</t>
  </si>
  <si>
    <t>Rivasside</t>
  </si>
  <si>
    <t>58947</t>
  </si>
  <si>
    <t>Hollister burgundy graphic tee in size xs
#vintage #aesthetic #boho</t>
  </si>
  <si>
    <t>07:00 AM</t>
  </si>
  <si>
    <t>thriftjeffrey</t>
  </si>
  <si>
    <t>Other purple cargo pants in size m
#preppy #thrift #y2k #cottagecore #retro</t>
  </si>
  <si>
    <t>Amy Crane</t>
  </si>
  <si>
    <t>003 Mary Road</t>
  </si>
  <si>
    <t>East David</t>
  </si>
  <si>
    <t>88248</t>
  </si>
  <si>
    <t>Nike black ribbed bikini top in size m
#y2k #grunge</t>
  </si>
  <si>
    <t>07:24 PM</t>
  </si>
  <si>
    <t>gabriellefinds</t>
  </si>
  <si>
    <t>Abercrombie &amp; Fitch black bodycon dress in size s
#retro #vintage</t>
  </si>
  <si>
    <t>Michael Turner</t>
  </si>
  <si>
    <t>058 Stanley Cliff</t>
  </si>
  <si>
    <t>Alexanderchester</t>
  </si>
  <si>
    <t>64752</t>
  </si>
  <si>
    <t>10:17 PM</t>
  </si>
  <si>
    <t>maria_zimmerman</t>
  </si>
  <si>
    <t>Urban Outfitters burgundy maxi dress in size s
#thrift #grunge</t>
  </si>
  <si>
    <t>Tyler Reid</t>
  </si>
  <si>
    <t>84987 Graham Street Suite 531</t>
  </si>
  <si>
    <t>Nicolebury</t>
  </si>
  <si>
    <t>98867</t>
  </si>
  <si>
    <t>08:18 PM</t>
  </si>
  <si>
    <t>mark_owens</t>
  </si>
  <si>
    <t>Other gray joggers in size xs
#boho #streetwear #cottagecore #minimalist</t>
  </si>
  <si>
    <t>Daniel Perry</t>
  </si>
  <si>
    <t>66909 Woods Knoll</t>
  </si>
  <si>
    <t>Karenchester</t>
  </si>
  <si>
    <t>71046</t>
  </si>
  <si>
    <t>01:37 PM</t>
  </si>
  <si>
    <t>anthonyros</t>
  </si>
  <si>
    <t>Victoria's Secret floral denim scarf in size s
#casual #aesthetic #cottagecore</t>
  </si>
  <si>
    <t>Leonard Gray</t>
  </si>
  <si>
    <t>3545 Beard Squares</t>
  </si>
  <si>
    <t>Angelahaven</t>
  </si>
  <si>
    <t>25543</t>
  </si>
  <si>
    <t>09:49 AM</t>
  </si>
  <si>
    <t>jeremywhi</t>
  </si>
  <si>
    <t>Free People burgundy athletic blouse in size l
#minimalist #cottagecore #thrift #aesthetic #grunge</t>
  </si>
  <si>
    <t>Brian Lee</t>
  </si>
  <si>
    <t>824 Terri Plaza</t>
  </si>
  <si>
    <t>Heidiberg</t>
  </si>
  <si>
    <t>84107</t>
  </si>
  <si>
    <t>09:00 AM</t>
  </si>
  <si>
    <t>audreyhar</t>
  </si>
  <si>
    <t>Nike burgundy wide leg pants in size s
#thrift #aesthetic</t>
  </si>
  <si>
    <t>Katherine Salas</t>
  </si>
  <si>
    <t>2047 Lynn Locks Suite 190</t>
  </si>
  <si>
    <t>East Lisa</t>
  </si>
  <si>
    <t>40325</t>
  </si>
  <si>
    <t>05:24 PM</t>
  </si>
  <si>
    <t>thriftkatherine</t>
  </si>
  <si>
    <t>Hollister white bodycon dress in size l
#aesthetic #sustainable</t>
  </si>
  <si>
    <t>Nathan Freeman</t>
  </si>
  <si>
    <t>770 Kelly Lodge Apt. 495</t>
  </si>
  <si>
    <t>Transtad</t>
  </si>
  <si>
    <t>56272</t>
  </si>
  <si>
    <t>05:38 PM</t>
  </si>
  <si>
    <t>kristopherstyle</t>
  </si>
  <si>
    <t>J.Crew green mini dress in size m
#grunge #retro #aesthetic</t>
  </si>
  <si>
    <t>Krista Bell MD</t>
  </si>
  <si>
    <t>35182 Javier Orchard</t>
  </si>
  <si>
    <t>Jennyhaven</t>
  </si>
  <si>
    <t>78723</t>
  </si>
  <si>
    <t>Cotton Natural burgundy leggings in size xl
#aesthetic #grunge</t>
  </si>
  <si>
    <t>11:26 PM</t>
  </si>
  <si>
    <t>robert_carlson</t>
  </si>
  <si>
    <t>H&amp;M cream mini dress in size l
#aesthetic #vintage #boho #preppy</t>
  </si>
  <si>
    <t>David Grant</t>
  </si>
  <si>
    <t>677 Dalton Meadow</t>
  </si>
  <si>
    <t>Ashleyton</t>
  </si>
  <si>
    <t>80406</t>
  </si>
  <si>
    <t>07:25 AM</t>
  </si>
  <si>
    <t>richardwear</t>
  </si>
  <si>
    <t>Self Esteem olive oversized dress in size xl
#boho #grunge #casual</t>
  </si>
  <si>
    <t>John Torres</t>
  </si>
  <si>
    <t>877 Carly Meadows Suite 940</t>
  </si>
  <si>
    <t>East Suzanneshire</t>
  </si>
  <si>
    <t>77456</t>
  </si>
  <si>
    <t>09:46 AM</t>
  </si>
  <si>
    <t>colleencloset</t>
  </si>
  <si>
    <t>Adidas red button-down shirt in size xs
#boho #preppy #minimalist</t>
  </si>
  <si>
    <t>Annette Farmer</t>
  </si>
  <si>
    <t>123 Andrea Estate Apt. 679</t>
  </si>
  <si>
    <t>Carterbury</t>
  </si>
  <si>
    <t>38263</t>
  </si>
  <si>
    <t>09:10 AM</t>
  </si>
  <si>
    <t>gracebra</t>
  </si>
  <si>
    <t>Banana Republic black sundress in size m
#casual #preppy #sustainable #streetwear #y2k</t>
  </si>
  <si>
    <t>Michele Gibson</t>
  </si>
  <si>
    <t>1832 Serrano Cliffs</t>
  </si>
  <si>
    <t>East Laurashire</t>
  </si>
  <si>
    <t>38329</t>
  </si>
  <si>
    <t>10:37 PM</t>
  </si>
  <si>
    <t>shopmaureen</t>
  </si>
  <si>
    <t>Free People green button-down shirt in size s
#y2k #sustainable</t>
  </si>
  <si>
    <t>Jason Walker</t>
  </si>
  <si>
    <t>1274 Perry Orchard</t>
  </si>
  <si>
    <t>Sanchezside</t>
  </si>
  <si>
    <t>19459</t>
  </si>
  <si>
    <t>11:47 PM</t>
  </si>
  <si>
    <t>closetsarah</t>
  </si>
  <si>
    <t>Self Esteem cream knit shorts in size l
#preppy #cottagecore #casual #retro #thrift</t>
  </si>
  <si>
    <t>Mr. Phillip Bennett</t>
  </si>
  <si>
    <t>396 Melissa Loop</t>
  </si>
  <si>
    <t>West Juliefurt</t>
  </si>
  <si>
    <t>51105</t>
  </si>
  <si>
    <t>07:23 PM</t>
  </si>
  <si>
    <t>heather_roberts</t>
  </si>
  <si>
    <t>Tommy Hilfiger gray cropped ribbed top in size l
#minimalist #streetwear</t>
  </si>
  <si>
    <t>Shannon Rivera</t>
  </si>
  <si>
    <t>071 King Crescent Suite 808</t>
  </si>
  <si>
    <t>Gutierrezborough</t>
  </si>
  <si>
    <t>68453</t>
  </si>
  <si>
    <t>07:30 AM</t>
  </si>
  <si>
    <t>styletammie</t>
  </si>
  <si>
    <t>Aerie teal mini dress in size s
#streetwear #sustainable #retro #preppy</t>
  </si>
  <si>
    <t>Rebecca Pearson MD</t>
  </si>
  <si>
    <t>951 Garcia Motorway</t>
  </si>
  <si>
    <t>Lake Douglasberg</t>
  </si>
  <si>
    <t>10308</t>
  </si>
  <si>
    <t>10:28 AM</t>
  </si>
  <si>
    <t>heather12</t>
  </si>
  <si>
    <t>Zara teal henley in size s
#cottagecore #y2k #preppy #thrift</t>
  </si>
  <si>
    <t>Wayne Morgan</t>
  </si>
  <si>
    <t>8657 Christina Freeway</t>
  </si>
  <si>
    <t>Wendyland</t>
  </si>
  <si>
    <t>57382</t>
  </si>
  <si>
    <t>01:28 PM</t>
  </si>
  <si>
    <t>thriftgeorge</t>
  </si>
  <si>
    <t>Nike navy y2k sweater in size xl
#preppy #retro</t>
  </si>
  <si>
    <t>Kylie Sparks</t>
  </si>
  <si>
    <t>693 Durham Divide</t>
  </si>
  <si>
    <t>South Dana</t>
  </si>
  <si>
    <t>60737</t>
  </si>
  <si>
    <t>joseph_williams</t>
  </si>
  <si>
    <t>Express brown cargo pants in size s
#grunge #aesthetic #boho</t>
  </si>
  <si>
    <t>Yvonne Chambers</t>
  </si>
  <si>
    <t>8742 Walters Overpass</t>
  </si>
  <si>
    <t>South Michaelmouth</t>
  </si>
  <si>
    <t>42582</t>
  </si>
  <si>
    <t>closetnatasha</t>
  </si>
  <si>
    <t>Aerie tie-dye overall shorts in size l
#vintage #y2k</t>
  </si>
  <si>
    <t>Thomas Romero</t>
  </si>
  <si>
    <t>6584 Justin Hills</t>
  </si>
  <si>
    <t>Grimesmouth</t>
  </si>
  <si>
    <t>71093</t>
  </si>
  <si>
    <t>05:12 PM</t>
  </si>
  <si>
    <t>shoprachel</t>
  </si>
  <si>
    <t>Victoria's Secret floral cotton skirt in size m
#casual #aesthetic #preppy #y2k #grunge</t>
  </si>
  <si>
    <t>Adam Ballard</t>
  </si>
  <si>
    <t>75946 Bryant Hollow</t>
  </si>
  <si>
    <t>South Melissa</t>
  </si>
  <si>
    <t>OK</t>
  </si>
  <si>
    <t>14480</t>
  </si>
  <si>
    <t>09:39 PM</t>
  </si>
  <si>
    <t>victoria_phillips</t>
  </si>
  <si>
    <t>Ralph Lauren teal vintage romper in size xs
#cottagecore #thrift</t>
  </si>
  <si>
    <t>Kenneth Andrews</t>
  </si>
  <si>
    <t>0909 Wall Heights Apt. 953</t>
  </si>
  <si>
    <t>New John</t>
  </si>
  <si>
    <t>99536</t>
  </si>
  <si>
    <t>kathleencloset</t>
  </si>
  <si>
    <t>Deb striped graphic tee in size l
#sustainable #boho #cottagecore #thrift</t>
  </si>
  <si>
    <t>Peter Garrett</t>
  </si>
  <si>
    <t>8247 Martinez Roads</t>
  </si>
  <si>
    <t>Lake Eric</t>
  </si>
  <si>
    <t>72700</t>
  </si>
  <si>
    <t>Ralph Lauren striped graphic tee in size xs
#retro #boho #vintage</t>
  </si>
  <si>
    <t>02:33 PM</t>
  </si>
  <si>
    <t>craigcloset</t>
  </si>
  <si>
    <t>Express floral fitted sneakers in size 7
#cottagecore #preppy #aesthetic</t>
  </si>
  <si>
    <t>Paige Padilla</t>
  </si>
  <si>
    <t>400 Flynn Hill</t>
  </si>
  <si>
    <t>Nicholasberg</t>
  </si>
  <si>
    <t>32508</t>
  </si>
  <si>
    <t>10:51 PM</t>
  </si>
  <si>
    <t>adam54</t>
  </si>
  <si>
    <t>Express navy y2k bottom in size m
#y2k #navy #thrift #depop</t>
  </si>
  <si>
    <t>Cheryl Ortega</t>
  </si>
  <si>
    <t>463 Valencia Key</t>
  </si>
  <si>
    <t/>
  </si>
  <si>
    <t>Smithhaven</t>
  </si>
  <si>
    <t>70198</t>
  </si>
  <si>
    <t>12:30 PM</t>
  </si>
  <si>
    <t>nthomas</t>
  </si>
  <si>
    <t>LOFT navy athletic accessorie in size l
#athletic #navy #thrift #depop</t>
  </si>
  <si>
    <t>Emma Porter</t>
  </si>
  <si>
    <t>1521 Smith Village</t>
  </si>
  <si>
    <t>West Javierfurt</t>
  </si>
  <si>
    <t>44640</t>
  </si>
  <si>
    <t>2:24 PM</t>
  </si>
  <si>
    <t>oarmstrong</t>
  </si>
  <si>
    <t>Other white lace bottom in size m
#lace #white #thrift #depop</t>
  </si>
  <si>
    <t>Karen Jackson</t>
  </si>
  <si>
    <t>378 Danny Underpass</t>
  </si>
  <si>
    <t>Jonestown</t>
  </si>
  <si>
    <t>IL</t>
  </si>
  <si>
    <t>75161</t>
  </si>
  <si>
    <t>8:22 AM</t>
  </si>
  <si>
    <t>derek63</t>
  </si>
  <si>
    <t>Free People green athletic coats/jacket in size s
#athletic #green #thrift #depop</t>
  </si>
  <si>
    <t>Valerie Bowman</t>
  </si>
  <si>
    <t>8625 Nielsen Curve Apt. 961</t>
  </si>
  <si>
    <t>North Douglasburgh</t>
  </si>
  <si>
    <t>23785</t>
  </si>
  <si>
    <t>7:33 PM</t>
  </si>
  <si>
    <t>mjames</t>
  </si>
  <si>
    <t>Old Navy pink y2k swimwear in size s
#y2k #pink #thrift #depop</t>
  </si>
  <si>
    <t>David Wolf</t>
  </si>
  <si>
    <t>688 Shawna Overpass Apt. 699</t>
  </si>
  <si>
    <t>Port Rachel</t>
  </si>
  <si>
    <t>49519</t>
  </si>
  <si>
    <t>3:27 PM</t>
  </si>
  <si>
    <t>cynthia95</t>
  </si>
  <si>
    <t>Express blue vintage coats/jacket in size l
#vintage #blue #thrift #depop</t>
  </si>
  <si>
    <t>Christopher Chapman</t>
  </si>
  <si>
    <t>0058 Angela Highway</t>
  </si>
  <si>
    <t>Port Scott</t>
  </si>
  <si>
    <t>91666</t>
  </si>
  <si>
    <t>11:38 AM</t>
  </si>
  <si>
    <t>khanrobert</t>
  </si>
  <si>
    <t>Zara gray y2k dresse in size xl
#y2k #gray #thrift #depop</t>
  </si>
  <si>
    <t>Andrea Carter</t>
  </si>
  <si>
    <t>8246 Ortiz Shoals Apt. 469</t>
  </si>
  <si>
    <t>Leemouth</t>
  </si>
  <si>
    <t>26408</t>
  </si>
  <si>
    <t>6:52 PM</t>
  </si>
  <si>
    <t>nhensley</t>
  </si>
  <si>
    <t>Express pink casual swimwear in size l
#casual #pink #thrift #depop</t>
  </si>
  <si>
    <t>Matthew Horn</t>
  </si>
  <si>
    <t>81756 Joseph Avenue Suite 358</t>
  </si>
  <si>
    <t>South Aprilborough</t>
  </si>
  <si>
    <t>79866</t>
  </si>
  <si>
    <t>5:25 PM</t>
  </si>
  <si>
    <t>wdavila</t>
  </si>
  <si>
    <t>Old Navy navy athletic bottom in size l
#athletic #navy #thrift #depop</t>
  </si>
  <si>
    <t>Tristan Espinoza</t>
  </si>
  <si>
    <t>282 Daniel Extension Suite 616</t>
  </si>
  <si>
    <t>East Kyletown</t>
  </si>
  <si>
    <t>50447</t>
  </si>
  <si>
    <t>1:57 PM</t>
  </si>
  <si>
    <t>xcruz</t>
  </si>
  <si>
    <t>Express navy boho coats/jacket in size xs
#boho #navy #thrift #depop</t>
  </si>
  <si>
    <t>Catherine Johnson</t>
  </si>
  <si>
    <t>673 Nash Fork Suite 153</t>
  </si>
  <si>
    <t>South Kenneth</t>
  </si>
  <si>
    <t>99002</t>
  </si>
  <si>
    <t>7:25 PM</t>
  </si>
  <si>
    <t>aaroncollins</t>
  </si>
  <si>
    <t>Express white athletic dresse in size s
#athletic #white #thrift #depop</t>
  </si>
  <si>
    <t>Nicole Jackson</t>
  </si>
  <si>
    <t>46788 Gonzalez Brooks Apt. 419</t>
  </si>
  <si>
    <t>North Robertstad</t>
  </si>
  <si>
    <t>73538</t>
  </si>
  <si>
    <t>7:49 PM</t>
  </si>
  <si>
    <t>james16</t>
  </si>
  <si>
    <t>H&amp;M green athletic coats/jacket in size l
#athletic #green #thrift #depop</t>
  </si>
  <si>
    <t>Christopher Murray</t>
  </si>
  <si>
    <t>76682 Wright Harbor</t>
  </si>
  <si>
    <t>Armstrongfurt</t>
  </si>
  <si>
    <t>24574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</si>
</sst>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"/>
  </numFmts>
  <fonts count="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rgb="FF718096"/>
      <name val="Aptos"/>
      <charset val="1"/>
    </font>
    <font>
      <sz val="10"/>
      <color rgb="FF2D3748"/>
      <name val="Aptos"/>
      <charset val="1"/>
    </font>
    <font>
      <sz val="7"/>
      <color rgb="FFBBBEBF"/>
      <name val="Consolas"/>
      <family val="3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FAFC"/>
        <bgColor rgb="FFFFFFFF"/>
      </patternFill>
    </fill>
    <fill>
      <patternFill patternType="solid">
        <fgColor theme="5"/>
      </patternFill>
    </fill>
  </fills>
  <borders count="4">
    <border>
      <left/>
      <right/>
      <top/>
      <bottom/>
      <diagonal/>
    </border>
    <border>
      <left/>
      <right/>
      <top/>
      <bottom style="thin">
        <color rgb="FF4A5568"/>
      </bottom>
      <diagonal/>
    </border>
    <border>
      <left/>
      <right/>
      <top/>
      <bottom style="hair">
        <color rgb="FFCBD5E0"/>
      </bottom>
      <diagonal/>
    </border>
    <border>
      <left/>
      <right/>
      <top/>
      <bottom style="hair">
        <color rgb="FF4A5568"/>
      </bottom>
      <diagonal/>
    </border>
  </borders>
  <cellStyleXfs count="3">
    <xf numFmtId="0" fontId="0" fillId="0" borderId="0"/>
    <xf numFmtId="0" fontId="1" fillId="0" borderId="0"/>
    <xf numFmtId="0" fontId="5" fillId="3" borderId="0" applyNumberFormat="0" applyBorder="0" applyAlignment="0" applyProtection="0"/>
  </cellStyleXfs>
  <cellXfs count="18">
    <xf numFmtId="0" fontId="0" fillId="0" borderId="0" xfId="0"/>
    <xf numFmtId="0" fontId="2" fillId="2" borderId="2" xfId="0" applyFont="1" applyFill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8" fontId="3" fillId="0" borderId="2" xfId="0" applyNumberFormat="1" applyFont="1" applyBorder="1" applyAlignment="1">
      <alignment vertical="center"/>
    </xf>
    <xf numFmtId="165" fontId="2" fillId="2" borderId="2" xfId="0" applyNumberFormat="1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vertical="center"/>
    </xf>
    <xf numFmtId="165" fontId="3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 applyAlignment="1">
      <alignment vertical="center"/>
    </xf>
    <xf numFmtId="0" fontId="5" fillId="3" borderId="1" xfId="2" applyBorder="1" applyAlignment="1">
      <alignment horizontal="center" vertical="center" wrapText="1"/>
    </xf>
    <xf numFmtId="0" fontId="5" fillId="3" borderId="1" xfId="2" applyBorder="1" applyAlignment="1">
      <alignment horizontal="center" vertical="center"/>
    </xf>
    <xf numFmtId="0" fontId="5" fillId="3" borderId="0" xfId="2" applyAlignment="1">
      <alignment horizontal="center" vertical="center"/>
    </xf>
  </cellXfs>
  <cellStyles count="3">
    <cellStyle name="Accent2" xfId="2" builtinId="33"/>
    <cellStyle name="Normal" xfId="0" builtinId="0"/>
    <cellStyle name="Normal 2" xfId="1" xr:uid="{A89E2B8B-C563-427B-B149-EDA10BC09152}"/>
  </cellStyles>
  <dxfs count="57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hair">
          <color rgb="FF4A556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hair">
          <color rgb="FF4A556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D3748"/>
        <name val="Aptos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hair">
          <color rgb="FF4A5568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AEC0"/>
      <rgbColor rgb="FF718096"/>
      <rgbColor rgb="FF8FAE8B"/>
      <rgbColor rgb="FF993366"/>
      <rgbColor rgb="FFF7FAFC"/>
      <rgbColor rgb="FFCCFFFF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99999"/>
      <rgbColor rgb="FF003366"/>
      <rgbColor rgb="FF6B8E6B"/>
      <rgbColor rgb="FF003300"/>
      <rgbColor rgb="FF333300"/>
      <rgbColor rgb="FF993300"/>
      <rgbColor rgb="FF993366"/>
      <rgbColor rgb="FF333399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A65E2F-12E3-44C3-B70F-FE705A70B7EF}" autoFormatId="16" applyNumberFormats="0" applyBorderFormats="0" applyFontFormats="0" applyPatternFormats="0" applyAlignmentFormats="0" applyWidthHeightFormats="0">
  <queryTableRefresh nextId="32">
    <queryTableFields count="31">
      <queryTableField id="1" name="Date of sale" tableColumnId="1"/>
      <queryTableField id="2" name="Time of sale" tableColumnId="2"/>
      <queryTableField id="3" name="Date of listing" tableColumnId="3"/>
      <queryTableField id="4" name="Bundle" tableColumnId="4"/>
      <queryTableField id="5" name="Bundle - amount of items" tableColumnId="5"/>
      <queryTableField id="6" name="Buyer" tableColumnId="6"/>
      <queryTableField id="7" name="Brand" tableColumnId="7"/>
      <queryTableField id="8" name="Description" tableColumnId="8"/>
      <queryTableField id="9" name="Size" tableColumnId="9"/>
      <queryTableField id="10" name="Item price" tableColumnId="10"/>
      <queryTableField id="11" name="Buyer shipping cost" tableColumnId="11"/>
      <queryTableField id="12" name="Total" tableColumnId="12"/>
      <queryTableField id="13" name="USPS Cost" tableColumnId="13"/>
      <queryTableField id="14" name="Depop fee" tableColumnId="14"/>
      <queryTableField id="15" name="Depop Payments fee" tableColumnId="15"/>
      <queryTableField id="16" name="Buyer Marketplace Fee" tableColumnId="16"/>
      <queryTableField id="17" name="Boosting fee" tableColumnId="17"/>
      <queryTableField id="18" name="Payment type" tableColumnId="18"/>
      <queryTableField id="19" name="Estimated payout date" tableColumnId="19"/>
      <queryTableField id="20" name="Payout arrival date" tableColumnId="20"/>
      <queryTableField id="21" name="Category" tableColumnId="21"/>
      <queryTableField id="22" name="Name" tableColumnId="22"/>
      <queryTableField id="23" name="Address Line 1" tableColumnId="23"/>
      <queryTableField id="24" name="Address Line 2" tableColumnId="24"/>
      <queryTableField id="25" name="City" tableColumnId="25"/>
      <queryTableField id="26" name="State" tableColumnId="26"/>
      <queryTableField id="27" name="Post Code" tableColumnId="27"/>
      <queryTableField id="28" name="Country" tableColumnId="28"/>
      <queryTableField id="29" name="US Sales tax" tableColumnId="29"/>
      <queryTableField id="30" name="Refunded to buyer amount" tableColumnId="30"/>
      <queryTableField id="31" name="Fees refunded to seller" tableColumnId="3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189" totalsRowShown="0">
  <autoFilter ref="A1:AI189" xr:uid="{00000000-0009-0000-0100-000001000000}"/>
  <sortState xmlns:xlrd2="http://schemas.microsoft.com/office/spreadsheetml/2017/richdata2" ref="A2:AI189">
    <sortCondition descending="1" ref="A1:A189"/>
  </sortState>
  <tableColumns count="35">
    <tableColumn id="1" xr3:uid="{00000000-0010-0000-0000-000001000000}" name="Date of sale" dataDxfId="33"/>
    <tableColumn id="2" xr3:uid="{00000000-0010-0000-0000-000002000000}" name="Time of sale" dataDxfId="32"/>
    <tableColumn id="3" xr3:uid="{00000000-0010-0000-0000-000003000000}" name="Date of listing" dataDxfId="31"/>
    <tableColumn id="5" xr3:uid="{00000000-0010-0000-0000-000005000000}" name="Bundle" dataDxfId="30"/>
    <tableColumn id="6" xr3:uid="{00000000-0010-0000-0000-000006000000}" name="Bundle - amount of items" dataDxfId="29"/>
    <tableColumn id="7" xr3:uid="{00000000-0010-0000-0000-000007000000}" name="Buyer" dataDxfId="28"/>
    <tableColumn id="8" xr3:uid="{00000000-0010-0000-0000-000008000000}" name="Brand" dataDxfId="27"/>
    <tableColumn id="9" xr3:uid="{00000000-0010-0000-0000-000009000000}" name="Description" dataDxfId="26"/>
    <tableColumn id="10" xr3:uid="{00000000-0010-0000-0000-00000A000000}" name="Size" dataDxfId="25"/>
    <tableColumn id="11" xr3:uid="{00000000-0010-0000-0000-00000B000000}" name="Item price" dataDxfId="24"/>
    <tableColumn id="12" xr3:uid="{00000000-0010-0000-0000-00000C000000}" name="Buyer shipping cost" dataDxfId="23"/>
    <tableColumn id="13" xr3:uid="{00000000-0010-0000-0000-00000D000000}" name="Total" dataDxfId="22"/>
    <tableColumn id="14" xr3:uid="{00000000-0010-0000-0000-00000E000000}" name="USPS Cost" dataDxfId="21"/>
    <tableColumn id="15" xr3:uid="{00000000-0010-0000-0000-00000F000000}" name="Depop fee" dataDxfId="20"/>
    <tableColumn id="16" xr3:uid="{00000000-0010-0000-0000-000010000000}" name="Depop Payments fee" dataDxfId="19"/>
    <tableColumn id="17" xr3:uid="{00000000-0010-0000-0000-000011000000}" name="Buyer Marketplace Fee" dataDxfId="18"/>
    <tableColumn id="18" xr3:uid="{00000000-0010-0000-0000-000012000000}" name="Boosting fee" dataDxfId="17"/>
    <tableColumn id="19" xr3:uid="{00000000-0010-0000-0000-000013000000}" name="Payment type" dataDxfId="16"/>
    <tableColumn id="20" xr3:uid="{00000000-0010-0000-0000-000014000000}" name="Estimated payout date" dataDxfId="15"/>
    <tableColumn id="21" xr3:uid="{00000000-0010-0000-0000-000015000000}" name="Payout arrival date" dataDxfId="14"/>
    <tableColumn id="22" xr3:uid="{00000000-0010-0000-0000-000016000000}" name="Category" dataDxfId="13"/>
    <tableColumn id="35" xr3:uid="{C6DDF731-F111-471A-8BDF-FE270BC51EF4}" name="Name" dataDxfId="12"/>
    <tableColumn id="34" xr3:uid="{9E75E25C-43F8-4BCF-8921-E05B581760C7}" name="Address Line 1" dataDxfId="11"/>
    <tableColumn id="33" xr3:uid="{06B36F8B-4460-4E5F-860D-45CA51FA5367}" name="Address Line 2" dataDxfId="10"/>
    <tableColumn id="23" xr3:uid="{00000000-0010-0000-0000-000017000000}" name="City" dataDxfId="9"/>
    <tableColumn id="24" xr3:uid="{00000000-0010-0000-0000-000018000000}" name="State" dataDxfId="8"/>
    <tableColumn id="25" xr3:uid="{00000000-0010-0000-0000-000019000000}" name="Post Code" dataDxfId="7"/>
    <tableColumn id="26" xr3:uid="{00000000-0010-0000-0000-00001A000000}" name="Country" dataDxfId="6"/>
    <tableColumn id="27" xr3:uid="{00000000-0010-0000-0000-00001B000000}" name="US Sales tax" dataDxfId="5"/>
    <tableColumn id="28" xr3:uid="{00000000-0010-0000-0000-00001C000000}" name="Refunded to buyer amount" dataDxfId="4"/>
    <tableColumn id="29" xr3:uid="{00000000-0010-0000-0000-00001D000000}" name="Fees refunded to seller" dataDxfId="3"/>
    <tableColumn id="30" xr3:uid="{00000000-0010-0000-0000-00001E000000}" name="Days_to_Sell" dataDxfId="2">
      <calculatedColumnFormula>IF(OR(A2="",C2=""),"",A2-C2)</calculatedColumnFormula>
    </tableColumn>
    <tableColumn id="31" xr3:uid="{00000000-0010-0000-0000-00001F000000}" name="Alloc_Shipping">
      <calculatedColumnFormula>IF(A2="","",IF(D2="No",IFERROR(K2*1,0),IF(D2="Yes",IFERROR(K2/E2,0),"")))</calculatedColumnFormula>
    </tableColumn>
    <tableColumn id="32" xr3:uid="{00000000-0010-0000-0000-000020000000}" name="Alloc_Fees" dataDxfId="1">
      <calculatedColumnFormula>IF(A2="","",IFERROR(N2*1,0)+IFERROR(O2*1,0)+IFERROR(P2*1,0)+IFERROR(Q2*1,0))</calculatedColumnFormula>
    </tableColumn>
    <tableColumn id="4" xr3:uid="{72A1F7D0-B22D-41DB-9D87-E60F5F657BF5}" name="Listing_ID" dataDxfId="0">
      <calculatedColumnFormula array="1">IF(A2="","",IFERROR(INDEX(Listings!A:A,MATCH(TEXT(C2,"MM/DD/YYYY")&amp;G2&amp;U2,Listings!J$2:J$201,0)+1),""))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5F7299-7B6B-4AB9-AB50-67595CD2CEB3}" name="DepopSalesImport" displayName="DepopSalesImport" ref="A1:AE13" tableType="queryTable" totalsRowShown="0">
  <autoFilter ref="A1:AE13" xr:uid="{955F7299-7B6B-4AB9-AB50-67595CD2CEB3}"/>
  <tableColumns count="31">
    <tableColumn id="1" xr3:uid="{0B16671B-644A-46A2-BFE8-D01FFEC3CFB2}" uniqueName="1" name="Date of sale" queryTableFieldId="1" dataDxfId="56"/>
    <tableColumn id="2" xr3:uid="{4ACA277E-CD59-49D6-8F32-2EFBBBD2516E}" uniqueName="2" name="Time of sale" queryTableFieldId="2" dataDxfId="55"/>
    <tableColumn id="3" xr3:uid="{6FFFF812-C02A-4757-AD45-7D4F62AF31B4}" uniqueName="3" name="Date of listing" queryTableFieldId="3" dataDxfId="54"/>
    <tableColumn id="4" xr3:uid="{FC230489-9054-4F24-81B9-EB3E870ABDE3}" uniqueName="4" name="Bundle" queryTableFieldId="4" dataDxfId="53"/>
    <tableColumn id="5" xr3:uid="{0739A71F-D6D4-4E5F-8AF9-64A7C465A7B1}" uniqueName="5" name="Bundle - amount of items" queryTableFieldId="5" dataDxfId="52"/>
    <tableColumn id="6" xr3:uid="{6ECAD7CD-FF14-4357-9C5D-54B760E19F65}" uniqueName="6" name="Buyer" queryTableFieldId="6" dataDxfId="51"/>
    <tableColumn id="7" xr3:uid="{4341D0C6-CB21-4E54-86E0-C3F3CEDB4E3B}" uniqueName="7" name="Brand" queryTableFieldId="7" dataDxfId="50"/>
    <tableColumn id="8" xr3:uid="{1D08F7A9-0F5B-47C9-9930-41833A29CB97}" uniqueName="8" name="Description" queryTableFieldId="8" dataDxfId="49"/>
    <tableColumn id="9" xr3:uid="{649F87E3-F516-492E-A24A-5E251C74FDB0}" uniqueName="9" name="Size" queryTableFieldId="9" dataDxfId="48"/>
    <tableColumn id="10" xr3:uid="{EBE7E6B7-8DBE-4A73-A68B-5B2F14A4E4BC}" uniqueName="10" name="Item price" queryTableFieldId="10"/>
    <tableColumn id="11" xr3:uid="{A624A5AA-F323-444D-96A0-E8CF78C8C5BA}" uniqueName="11" name="Buyer shipping cost" queryTableFieldId="11"/>
    <tableColumn id="12" xr3:uid="{149541BF-03A8-4B04-9656-7A497744C4B1}" uniqueName="12" name="Total" queryTableFieldId="12"/>
    <tableColumn id="13" xr3:uid="{65F8D312-1CF7-48F6-95AB-18854470C7D3}" uniqueName="13" name="USPS Cost" queryTableFieldId="13"/>
    <tableColumn id="14" xr3:uid="{B81F46BC-C35A-43D2-BE03-7284C08F315A}" uniqueName="14" name="Depop fee" queryTableFieldId="14"/>
    <tableColumn id="15" xr3:uid="{865BF9B1-1496-4A5E-8110-2D9406932B9E}" uniqueName="15" name="Depop Payments fee" queryTableFieldId="15"/>
    <tableColumn id="16" xr3:uid="{315B7EDC-B828-426D-991A-54E29F5B9B7E}" uniqueName="16" name="Buyer Marketplace Fee" queryTableFieldId="16"/>
    <tableColumn id="17" xr3:uid="{8E8611DD-8615-4719-81A8-EBDF951419A1}" uniqueName="17" name="Boosting fee" queryTableFieldId="17" dataDxfId="47"/>
    <tableColumn id="18" xr3:uid="{7F0A5253-5DC7-470C-B756-026E3910162A}" uniqueName="18" name="Payment type" queryTableFieldId="18" dataDxfId="46"/>
    <tableColumn id="19" xr3:uid="{46F09BD7-4C07-49A7-A369-6A60EE44DA82}" uniqueName="19" name="Estimated payout date" queryTableFieldId="19" dataDxfId="45"/>
    <tableColumn id="20" xr3:uid="{9826A0A1-3FEC-4439-8448-DB6912E4B17D}" uniqueName="20" name="Payout arrival date" queryTableFieldId="20" dataDxfId="44"/>
    <tableColumn id="21" xr3:uid="{2A731DA5-74FE-46BF-AAD2-47234AB53397}" uniqueName="21" name="Category" queryTableFieldId="21" dataDxfId="43"/>
    <tableColumn id="22" xr3:uid="{FC41A091-4A2B-430C-B3D1-89FDA38C8C27}" uniqueName="22" name="Name" queryTableFieldId="22" dataDxfId="42"/>
    <tableColumn id="23" xr3:uid="{1BEA7122-5617-4F65-8322-A9DAC3FBC5AE}" uniqueName="23" name="Address Line 1" queryTableFieldId="23" dataDxfId="41"/>
    <tableColumn id="24" xr3:uid="{623AC0BD-8963-4D4B-88D4-4197D932EDB3}" uniqueName="24" name="Address Line 2" queryTableFieldId="24" dataDxfId="40"/>
    <tableColumn id="25" xr3:uid="{378033F7-C817-425A-AA19-4262891F5F1C}" uniqueName="25" name="City" queryTableFieldId="25" dataDxfId="39"/>
    <tableColumn id="26" xr3:uid="{C96D6F4C-A9E1-4A18-98F0-7A4B8E8E32F7}" uniqueName="26" name="State" queryTableFieldId="26" dataDxfId="38"/>
    <tableColumn id="27" xr3:uid="{D5B66F36-4C57-46F4-8403-5F33334A88FD}" uniqueName="27" name="Post Code" queryTableFieldId="27" dataDxfId="37"/>
    <tableColumn id="28" xr3:uid="{5DF45AC1-5C5A-42E9-A9BE-84CC31803A22}" uniqueName="28" name="Country" queryTableFieldId="28" dataDxfId="36"/>
    <tableColumn id="29" xr3:uid="{A9C7623F-950D-430A-BEF8-E70F25B4792F}" uniqueName="29" name="US Sales tax" queryTableFieldId="29"/>
    <tableColumn id="30" xr3:uid="{94E67528-4F25-4420-AA36-E0555D5883B8}" uniqueName="30" name="Refunded to buyer amount" queryTableFieldId="30" dataDxfId="35"/>
    <tableColumn id="31" xr3:uid="{85B7DDE7-1B42-45A2-95CF-72AF474EF5DE}" uniqueName="31" name="Fees refunded to seller" queryTableFieldId="31" dataDxf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L51"/>
  <sheetViews>
    <sheetView topLeftCell="B1" zoomScaleNormal="100" workbookViewId="0">
      <pane ySplit="1" topLeftCell="A3" activePane="bottomLeft" state="frozen"/>
      <selection activeCell="D1" sqref="D1"/>
      <selection pane="bottomLeft" activeCell="K5" sqref="K5"/>
    </sheetView>
  </sheetViews>
  <sheetFormatPr defaultColWidth="8.453125" defaultRowHeight="14.5" x14ac:dyDescent="0.35"/>
  <cols>
    <col min="1" max="1" width="9.90625" customWidth="1"/>
    <col min="2" max="2" width="12" customWidth="1"/>
    <col min="3" max="3" width="13" customWidth="1"/>
    <col min="4" max="4" width="12" customWidth="1"/>
    <col min="5" max="5" width="13" customWidth="1"/>
    <col min="6" max="6" width="9.90625" customWidth="1"/>
    <col min="7" max="8" width="12" customWidth="1"/>
    <col min="9" max="9" width="13" customWidth="1"/>
    <col min="10" max="10" width="14" customWidth="1"/>
    <col min="11" max="11" width="20" customWidth="1"/>
    <col min="12" max="12" width="12" customWidth="1"/>
  </cols>
  <sheetData>
    <row r="1" spans="1:12" ht="31.5" customHeigh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</row>
    <row r="2" spans="1:12" ht="15" customHeight="1" x14ac:dyDescent="0.35">
      <c r="A2" s="1">
        <f t="shared" ref="A2:A51" si="0">IF(B2="","",ROW()-1)</f>
        <v>1</v>
      </c>
      <c r="B2" s="2">
        <v>45937</v>
      </c>
      <c r="C2" s="3">
        <v>20.93</v>
      </c>
      <c r="D2" s="4">
        <v>88</v>
      </c>
      <c r="E2" s="5">
        <v>0.44930555555555562</v>
      </c>
      <c r="F2" s="4" t="s">
        <v>12</v>
      </c>
      <c r="G2" s="4">
        <v>17</v>
      </c>
      <c r="H2" s="4">
        <v>2</v>
      </c>
      <c r="I2" s="4">
        <v>12</v>
      </c>
      <c r="J2" s="4">
        <v>3</v>
      </c>
      <c r="K2" s="6">
        <f t="shared" ref="K2:K33" si="1">IF(I2="","",IF(I2=0,"No sellable items",C2/I2))</f>
        <v>1.7441666666666666</v>
      </c>
      <c r="L2" s="1" t="str">
        <f t="shared" ref="L2:L33" si="2">IF(G2="","",IF(G2=H2+I2+J2,"✓","✗ Mismatch"))</f>
        <v>✓</v>
      </c>
    </row>
    <row r="3" spans="1:12" ht="15" customHeight="1" x14ac:dyDescent="0.35">
      <c r="A3" s="1">
        <f t="shared" si="0"/>
        <v>2</v>
      </c>
      <c r="B3" s="2">
        <v>45953</v>
      </c>
      <c r="C3" s="3">
        <v>18.28</v>
      </c>
      <c r="D3" s="4">
        <v>124</v>
      </c>
      <c r="E3" s="5">
        <v>0.39930555555555558</v>
      </c>
      <c r="F3" s="4" t="s">
        <v>12</v>
      </c>
      <c r="G3" s="4">
        <v>16</v>
      </c>
      <c r="H3" s="4">
        <v>3</v>
      </c>
      <c r="I3" s="4">
        <v>10</v>
      </c>
      <c r="J3" s="4">
        <v>3</v>
      </c>
      <c r="K3" s="6">
        <f t="shared" si="1"/>
        <v>1.8280000000000001</v>
      </c>
      <c r="L3" s="1" t="str">
        <f t="shared" si="2"/>
        <v>✓</v>
      </c>
    </row>
    <row r="4" spans="1:12" ht="15" customHeight="1" x14ac:dyDescent="0.35">
      <c r="A4" s="1">
        <f t="shared" si="0"/>
        <v>3</v>
      </c>
      <c r="B4" s="2">
        <v>45965</v>
      </c>
      <c r="C4" s="3">
        <v>46.04</v>
      </c>
      <c r="D4" s="4">
        <v>60</v>
      </c>
      <c r="E4" s="5">
        <v>0.44722222222222219</v>
      </c>
      <c r="F4" s="4" t="s">
        <v>137</v>
      </c>
      <c r="G4" s="4">
        <v>10</v>
      </c>
      <c r="H4" s="4">
        <v>3</v>
      </c>
      <c r="I4" s="4">
        <v>4</v>
      </c>
      <c r="J4" s="4">
        <v>3</v>
      </c>
      <c r="K4" s="6">
        <f t="shared" si="1"/>
        <v>11.51</v>
      </c>
      <c r="L4" s="1" t="str">
        <f t="shared" si="2"/>
        <v>✓</v>
      </c>
    </row>
    <row r="5" spans="1:12" ht="15" customHeight="1" x14ac:dyDescent="0.35">
      <c r="A5" s="1">
        <f t="shared" si="0"/>
        <v>4</v>
      </c>
      <c r="B5" s="2">
        <v>45983</v>
      </c>
      <c r="C5" s="3">
        <v>12.55</v>
      </c>
      <c r="D5" s="4">
        <v>168</v>
      </c>
      <c r="E5" s="5">
        <v>0.48472222222222222</v>
      </c>
      <c r="F5" s="4" t="s">
        <v>12</v>
      </c>
      <c r="G5" s="4">
        <v>6</v>
      </c>
      <c r="H5" s="4">
        <v>1</v>
      </c>
      <c r="I5" s="4">
        <v>4</v>
      </c>
      <c r="J5" s="4">
        <v>1</v>
      </c>
      <c r="K5" s="6">
        <f t="shared" si="1"/>
        <v>3.1375000000000002</v>
      </c>
      <c r="L5" s="1" t="str">
        <f t="shared" si="2"/>
        <v>✓</v>
      </c>
    </row>
    <row r="6" spans="1:12" ht="15" customHeight="1" x14ac:dyDescent="0.35">
      <c r="A6" s="1">
        <f t="shared" si="0"/>
        <v>5</v>
      </c>
      <c r="B6" s="2">
        <v>46001</v>
      </c>
      <c r="C6" s="3">
        <v>46.98</v>
      </c>
      <c r="D6" s="4">
        <v>139</v>
      </c>
      <c r="E6" s="5">
        <v>0.48333333333333328</v>
      </c>
      <c r="F6" s="4" t="s">
        <v>12</v>
      </c>
      <c r="G6" s="4">
        <v>7</v>
      </c>
      <c r="H6" s="4">
        <v>1</v>
      </c>
      <c r="I6" s="4">
        <v>3</v>
      </c>
      <c r="J6" s="4">
        <v>3</v>
      </c>
      <c r="K6" s="6">
        <f t="shared" si="1"/>
        <v>15.659999999999998</v>
      </c>
      <c r="L6" s="1" t="str">
        <f t="shared" si="2"/>
        <v>✓</v>
      </c>
    </row>
    <row r="7" spans="1:12" ht="15" customHeight="1" x14ac:dyDescent="0.35">
      <c r="A7" s="1">
        <f t="shared" si="0"/>
        <v>6</v>
      </c>
      <c r="B7" s="2">
        <v>46010</v>
      </c>
      <c r="C7" s="3">
        <v>48.2</v>
      </c>
      <c r="D7" s="4">
        <v>170</v>
      </c>
      <c r="E7" s="5">
        <v>0.43333333333333329</v>
      </c>
      <c r="F7" s="4" t="s">
        <v>12</v>
      </c>
      <c r="G7" s="4">
        <v>16</v>
      </c>
      <c r="H7" s="4">
        <v>2</v>
      </c>
      <c r="I7" s="4">
        <v>11</v>
      </c>
      <c r="J7" s="4">
        <v>3</v>
      </c>
      <c r="K7" s="6">
        <f t="shared" si="1"/>
        <v>4.3818181818181818</v>
      </c>
      <c r="L7" s="1" t="str">
        <f t="shared" si="2"/>
        <v>✓</v>
      </c>
    </row>
    <row r="8" spans="1:12" ht="15" customHeight="1" x14ac:dyDescent="0.35">
      <c r="A8" s="1">
        <f t="shared" si="0"/>
        <v>7</v>
      </c>
      <c r="B8" s="2">
        <v>46020</v>
      </c>
      <c r="C8" s="3">
        <v>20.55</v>
      </c>
      <c r="D8" s="4">
        <v>179</v>
      </c>
      <c r="E8" s="5">
        <v>0.44305555555555548</v>
      </c>
      <c r="F8" s="4" t="s">
        <v>137</v>
      </c>
      <c r="G8" s="4">
        <v>14</v>
      </c>
      <c r="H8" s="4">
        <v>2</v>
      </c>
      <c r="I8" s="4">
        <v>9</v>
      </c>
      <c r="J8" s="4">
        <v>3</v>
      </c>
      <c r="K8" s="6">
        <f t="shared" si="1"/>
        <v>2.2833333333333332</v>
      </c>
      <c r="L8" s="1" t="str">
        <f t="shared" si="2"/>
        <v>✓</v>
      </c>
    </row>
    <row r="9" spans="1:12" ht="15" customHeight="1" x14ac:dyDescent="0.35">
      <c r="A9" s="1">
        <f t="shared" si="0"/>
        <v>8</v>
      </c>
      <c r="B9" s="2">
        <v>46031</v>
      </c>
      <c r="C9" s="3">
        <v>51.49</v>
      </c>
      <c r="D9" s="4">
        <v>148</v>
      </c>
      <c r="E9" s="5">
        <v>0.59305555555555556</v>
      </c>
      <c r="F9" s="4" t="s">
        <v>137</v>
      </c>
      <c r="G9" s="4">
        <v>6</v>
      </c>
      <c r="H9" s="4">
        <v>0</v>
      </c>
      <c r="I9" s="4">
        <v>3</v>
      </c>
      <c r="J9" s="4">
        <v>3</v>
      </c>
      <c r="K9" s="6">
        <f t="shared" si="1"/>
        <v>17.163333333333334</v>
      </c>
      <c r="L9" s="1" t="str">
        <f t="shared" si="2"/>
        <v>✓</v>
      </c>
    </row>
    <row r="10" spans="1:12" ht="15" customHeight="1" x14ac:dyDescent="0.35">
      <c r="A10" s="1">
        <f t="shared" si="0"/>
        <v>9</v>
      </c>
      <c r="B10" s="2">
        <v>46041</v>
      </c>
      <c r="C10" s="3">
        <v>11.11</v>
      </c>
      <c r="D10" s="4">
        <v>176</v>
      </c>
      <c r="E10" s="5">
        <v>0.46736111111111112</v>
      </c>
      <c r="F10" s="4" t="s">
        <v>137</v>
      </c>
      <c r="G10" s="4">
        <v>12</v>
      </c>
      <c r="H10" s="4">
        <v>3</v>
      </c>
      <c r="I10" s="4">
        <v>8</v>
      </c>
      <c r="J10" s="4">
        <v>1</v>
      </c>
      <c r="K10" s="6">
        <f t="shared" si="1"/>
        <v>1.3887499999999999</v>
      </c>
      <c r="L10" s="1" t="str">
        <f t="shared" si="2"/>
        <v>✓</v>
      </c>
    </row>
    <row r="11" spans="1:12" ht="15" customHeight="1" x14ac:dyDescent="0.35">
      <c r="A11" s="1">
        <f t="shared" si="0"/>
        <v>10</v>
      </c>
      <c r="B11" s="2">
        <v>46048</v>
      </c>
      <c r="C11" s="3">
        <v>19.59</v>
      </c>
      <c r="D11" s="4">
        <v>131</v>
      </c>
      <c r="E11" s="5">
        <v>0.59444444444444444</v>
      </c>
      <c r="F11" s="4" t="s">
        <v>137</v>
      </c>
      <c r="G11" s="4">
        <v>12</v>
      </c>
      <c r="H11" s="4">
        <v>2</v>
      </c>
      <c r="I11" s="4">
        <v>8</v>
      </c>
      <c r="J11" s="4">
        <v>2</v>
      </c>
      <c r="K11" s="6">
        <f t="shared" si="1"/>
        <v>2.44875</v>
      </c>
      <c r="L11" s="1" t="str">
        <f t="shared" si="2"/>
        <v>✓</v>
      </c>
    </row>
    <row r="12" spans="1:12" ht="15" customHeight="1" x14ac:dyDescent="0.35">
      <c r="A12" s="1">
        <f t="shared" si="0"/>
        <v>11</v>
      </c>
      <c r="B12" s="2">
        <v>46056</v>
      </c>
      <c r="C12" s="3">
        <v>14.5</v>
      </c>
      <c r="D12" s="4">
        <v>123</v>
      </c>
      <c r="E12" s="5">
        <v>0.45</v>
      </c>
      <c r="F12" s="4" t="s">
        <v>12</v>
      </c>
      <c r="G12" s="4">
        <v>7</v>
      </c>
      <c r="H12" s="4">
        <v>1</v>
      </c>
      <c r="I12" s="4">
        <v>3</v>
      </c>
      <c r="J12" s="4">
        <v>3</v>
      </c>
      <c r="K12" s="6">
        <f t="shared" si="1"/>
        <v>4.833333333333333</v>
      </c>
      <c r="L12" s="1" t="str">
        <f t="shared" si="2"/>
        <v>✓</v>
      </c>
    </row>
    <row r="13" spans="1:12" ht="15" customHeight="1" x14ac:dyDescent="0.35">
      <c r="A13" s="1">
        <f t="shared" si="0"/>
        <v>12</v>
      </c>
      <c r="B13" s="2">
        <v>46067</v>
      </c>
      <c r="C13" s="3">
        <v>26.08</v>
      </c>
      <c r="D13" s="4">
        <v>136</v>
      </c>
      <c r="E13" s="5">
        <v>0.56458333333333333</v>
      </c>
      <c r="F13" s="4" t="s">
        <v>12</v>
      </c>
      <c r="G13" s="4">
        <v>14</v>
      </c>
      <c r="H13" s="4">
        <v>2</v>
      </c>
      <c r="I13" s="4">
        <v>9</v>
      </c>
      <c r="J13" s="4">
        <v>3</v>
      </c>
      <c r="K13" s="6">
        <f t="shared" si="1"/>
        <v>2.8977777777777778</v>
      </c>
      <c r="L13" s="1" t="str">
        <f t="shared" si="2"/>
        <v>✓</v>
      </c>
    </row>
    <row r="14" spans="1:12" ht="15" customHeight="1" x14ac:dyDescent="0.35">
      <c r="A14" s="1">
        <f t="shared" si="0"/>
        <v>13</v>
      </c>
      <c r="B14" s="2">
        <v>46073</v>
      </c>
      <c r="C14" s="3">
        <v>33.24</v>
      </c>
      <c r="D14" s="4">
        <v>94</v>
      </c>
      <c r="E14" s="5">
        <v>0.46319444444444452</v>
      </c>
      <c r="F14" s="4" t="s">
        <v>12</v>
      </c>
      <c r="G14" s="4">
        <v>8</v>
      </c>
      <c r="H14" s="4">
        <v>2</v>
      </c>
      <c r="I14" s="4">
        <v>4</v>
      </c>
      <c r="J14" s="4">
        <v>2</v>
      </c>
      <c r="K14" s="6">
        <f t="shared" si="1"/>
        <v>8.31</v>
      </c>
      <c r="L14" s="1" t="str">
        <f t="shared" si="2"/>
        <v>✓</v>
      </c>
    </row>
    <row r="15" spans="1:12" ht="15" customHeight="1" x14ac:dyDescent="0.35">
      <c r="A15" s="1">
        <f t="shared" si="0"/>
        <v>14</v>
      </c>
      <c r="B15" s="2">
        <v>46082</v>
      </c>
      <c r="C15" s="3">
        <v>43.81</v>
      </c>
      <c r="D15" s="4">
        <v>124</v>
      </c>
      <c r="E15" s="5">
        <v>0.4548611111111111</v>
      </c>
      <c r="F15" s="4" t="s">
        <v>137</v>
      </c>
      <c r="G15" s="4">
        <v>16</v>
      </c>
      <c r="H15" s="4">
        <v>3</v>
      </c>
      <c r="I15" s="4">
        <v>9</v>
      </c>
      <c r="J15" s="4">
        <v>4</v>
      </c>
      <c r="K15" s="6">
        <f t="shared" si="1"/>
        <v>4.8677777777777784</v>
      </c>
      <c r="L15" s="1" t="str">
        <f t="shared" si="2"/>
        <v>✓</v>
      </c>
    </row>
    <row r="16" spans="1:12" ht="15" customHeight="1" x14ac:dyDescent="0.35">
      <c r="A16" s="1">
        <f t="shared" si="0"/>
        <v>15</v>
      </c>
      <c r="B16" s="2">
        <v>46092</v>
      </c>
      <c r="C16" s="3">
        <v>33.35</v>
      </c>
      <c r="D16" s="4">
        <v>159</v>
      </c>
      <c r="E16" s="5">
        <v>0.62361111111111112</v>
      </c>
      <c r="F16" s="4" t="s">
        <v>12</v>
      </c>
      <c r="G16" s="4">
        <v>11</v>
      </c>
      <c r="H16" s="4">
        <v>1</v>
      </c>
      <c r="I16" s="4">
        <v>6</v>
      </c>
      <c r="J16" s="4">
        <v>4</v>
      </c>
      <c r="K16" s="6">
        <f t="shared" si="1"/>
        <v>5.5583333333333336</v>
      </c>
      <c r="L16" s="1" t="str">
        <f t="shared" si="2"/>
        <v>✓</v>
      </c>
    </row>
    <row r="17" spans="1:12" ht="15" customHeight="1" x14ac:dyDescent="0.35">
      <c r="A17" s="1" t="str">
        <f t="shared" si="0"/>
        <v/>
      </c>
      <c r="B17" s="2"/>
      <c r="C17" s="3"/>
      <c r="D17" s="4"/>
      <c r="E17" s="5"/>
      <c r="F17" s="4"/>
      <c r="G17" s="4"/>
      <c r="H17" s="4"/>
      <c r="I17" s="4"/>
      <c r="J17" s="4"/>
      <c r="K17" s="6" t="str">
        <f t="shared" si="1"/>
        <v/>
      </c>
      <c r="L17" s="1" t="str">
        <f t="shared" si="2"/>
        <v/>
      </c>
    </row>
    <row r="18" spans="1:12" ht="15" customHeight="1" x14ac:dyDescent="0.35">
      <c r="A18" s="1" t="str">
        <f t="shared" si="0"/>
        <v/>
      </c>
      <c r="B18" s="2"/>
      <c r="C18" s="3"/>
      <c r="D18" s="4"/>
      <c r="E18" s="5"/>
      <c r="F18" s="4"/>
      <c r="G18" s="4"/>
      <c r="H18" s="4"/>
      <c r="I18" s="4"/>
      <c r="J18" s="4"/>
      <c r="K18" s="6" t="str">
        <f t="shared" si="1"/>
        <v/>
      </c>
      <c r="L18" s="1" t="str">
        <f t="shared" si="2"/>
        <v/>
      </c>
    </row>
    <row r="19" spans="1:12" ht="15" customHeight="1" x14ac:dyDescent="0.35">
      <c r="A19" s="1" t="str">
        <f t="shared" si="0"/>
        <v/>
      </c>
      <c r="B19" s="2"/>
      <c r="C19" s="3"/>
      <c r="D19" s="4"/>
      <c r="E19" s="5"/>
      <c r="F19" s="4"/>
      <c r="G19" s="4"/>
      <c r="H19" s="4"/>
      <c r="I19" s="4"/>
      <c r="J19" s="4"/>
      <c r="K19" s="6" t="str">
        <f t="shared" si="1"/>
        <v/>
      </c>
      <c r="L19" s="1" t="str">
        <f t="shared" si="2"/>
        <v/>
      </c>
    </row>
    <row r="20" spans="1:12" ht="15" customHeight="1" x14ac:dyDescent="0.35">
      <c r="A20" s="1" t="str">
        <f t="shared" si="0"/>
        <v/>
      </c>
      <c r="B20" s="2"/>
      <c r="C20" s="3"/>
      <c r="D20" s="4"/>
      <c r="E20" s="5"/>
      <c r="F20" s="4"/>
      <c r="G20" s="4"/>
      <c r="H20" s="4"/>
      <c r="I20" s="4"/>
      <c r="J20" s="4"/>
      <c r="K20" s="6" t="str">
        <f t="shared" si="1"/>
        <v/>
      </c>
      <c r="L20" s="1" t="str">
        <f t="shared" si="2"/>
        <v/>
      </c>
    </row>
    <row r="21" spans="1:12" ht="15" customHeight="1" x14ac:dyDescent="0.35">
      <c r="A21" s="1" t="str">
        <f t="shared" si="0"/>
        <v/>
      </c>
      <c r="B21" s="2"/>
      <c r="C21" s="3"/>
      <c r="D21" s="4"/>
      <c r="E21" s="5"/>
      <c r="F21" s="4"/>
      <c r="G21" s="4"/>
      <c r="H21" s="4"/>
      <c r="I21" s="4"/>
      <c r="J21" s="4"/>
      <c r="K21" s="6" t="str">
        <f t="shared" si="1"/>
        <v/>
      </c>
      <c r="L21" s="1" t="str">
        <f t="shared" si="2"/>
        <v/>
      </c>
    </row>
    <row r="22" spans="1:12" ht="15" customHeight="1" x14ac:dyDescent="0.35">
      <c r="A22" s="1" t="str">
        <f t="shared" si="0"/>
        <v/>
      </c>
      <c r="B22" s="2"/>
      <c r="C22" s="3"/>
      <c r="D22" s="4"/>
      <c r="E22" s="5"/>
      <c r="F22" s="4"/>
      <c r="G22" s="4"/>
      <c r="H22" s="4"/>
      <c r="I22" s="4"/>
      <c r="J22" s="4"/>
      <c r="K22" s="6" t="str">
        <f t="shared" si="1"/>
        <v/>
      </c>
      <c r="L22" s="1" t="str">
        <f t="shared" si="2"/>
        <v/>
      </c>
    </row>
    <row r="23" spans="1:12" ht="15" customHeight="1" x14ac:dyDescent="0.35">
      <c r="A23" s="1" t="str">
        <f t="shared" si="0"/>
        <v/>
      </c>
      <c r="B23" s="2"/>
      <c r="C23" s="3"/>
      <c r="D23" s="4"/>
      <c r="E23" s="5"/>
      <c r="F23" s="4"/>
      <c r="G23" s="4"/>
      <c r="H23" s="4"/>
      <c r="I23" s="4"/>
      <c r="J23" s="4"/>
      <c r="K23" s="6" t="str">
        <f t="shared" si="1"/>
        <v/>
      </c>
      <c r="L23" s="1" t="str">
        <f t="shared" si="2"/>
        <v/>
      </c>
    </row>
    <row r="24" spans="1:12" ht="15" customHeight="1" x14ac:dyDescent="0.35">
      <c r="A24" s="1" t="str">
        <f t="shared" si="0"/>
        <v/>
      </c>
      <c r="B24" s="2"/>
      <c r="C24" s="3"/>
      <c r="D24" s="4"/>
      <c r="E24" s="5"/>
      <c r="F24" s="4"/>
      <c r="G24" s="4"/>
      <c r="H24" s="4"/>
      <c r="I24" s="4"/>
      <c r="J24" s="4"/>
      <c r="K24" s="6" t="str">
        <f t="shared" si="1"/>
        <v/>
      </c>
      <c r="L24" s="1" t="str">
        <f t="shared" si="2"/>
        <v/>
      </c>
    </row>
    <row r="25" spans="1:12" ht="15" customHeight="1" x14ac:dyDescent="0.35">
      <c r="A25" s="1" t="str">
        <f t="shared" si="0"/>
        <v/>
      </c>
      <c r="B25" s="2"/>
      <c r="C25" s="3"/>
      <c r="D25" s="4"/>
      <c r="E25" s="5"/>
      <c r="F25" s="4"/>
      <c r="G25" s="4"/>
      <c r="H25" s="4"/>
      <c r="I25" s="4"/>
      <c r="J25" s="4"/>
      <c r="K25" s="6" t="str">
        <f t="shared" si="1"/>
        <v/>
      </c>
      <c r="L25" s="1" t="str">
        <f t="shared" si="2"/>
        <v/>
      </c>
    </row>
    <row r="26" spans="1:12" ht="15" customHeight="1" x14ac:dyDescent="0.35">
      <c r="A26" s="1" t="str">
        <f t="shared" si="0"/>
        <v/>
      </c>
      <c r="B26" s="2"/>
      <c r="C26" s="3"/>
      <c r="D26" s="4"/>
      <c r="E26" s="5"/>
      <c r="F26" s="4"/>
      <c r="G26" s="4"/>
      <c r="H26" s="4"/>
      <c r="I26" s="4"/>
      <c r="J26" s="4"/>
      <c r="K26" s="6" t="str">
        <f t="shared" si="1"/>
        <v/>
      </c>
      <c r="L26" s="1" t="str">
        <f t="shared" si="2"/>
        <v/>
      </c>
    </row>
    <row r="27" spans="1:12" ht="15" customHeight="1" x14ac:dyDescent="0.35">
      <c r="A27" s="1" t="str">
        <f t="shared" si="0"/>
        <v/>
      </c>
      <c r="B27" s="2"/>
      <c r="C27" s="3"/>
      <c r="D27" s="4"/>
      <c r="E27" s="5"/>
      <c r="F27" s="4"/>
      <c r="G27" s="4"/>
      <c r="H27" s="4"/>
      <c r="I27" s="4"/>
      <c r="J27" s="4"/>
      <c r="K27" s="6" t="str">
        <f t="shared" si="1"/>
        <v/>
      </c>
      <c r="L27" s="1" t="str">
        <f t="shared" si="2"/>
        <v/>
      </c>
    </row>
    <row r="28" spans="1:12" ht="15" customHeight="1" x14ac:dyDescent="0.35">
      <c r="A28" s="1" t="str">
        <f t="shared" si="0"/>
        <v/>
      </c>
      <c r="B28" s="2"/>
      <c r="C28" s="3"/>
      <c r="D28" s="4"/>
      <c r="E28" s="5"/>
      <c r="F28" s="4"/>
      <c r="G28" s="4"/>
      <c r="H28" s="4"/>
      <c r="I28" s="4"/>
      <c r="J28" s="4"/>
      <c r="K28" s="6" t="str">
        <f t="shared" si="1"/>
        <v/>
      </c>
      <c r="L28" s="1" t="str">
        <f t="shared" si="2"/>
        <v/>
      </c>
    </row>
    <row r="29" spans="1:12" ht="15" customHeight="1" x14ac:dyDescent="0.35">
      <c r="A29" s="1" t="str">
        <f t="shared" si="0"/>
        <v/>
      </c>
      <c r="B29" s="2"/>
      <c r="C29" s="3"/>
      <c r="D29" s="4"/>
      <c r="E29" s="5"/>
      <c r="F29" s="4"/>
      <c r="G29" s="4"/>
      <c r="H29" s="4"/>
      <c r="I29" s="4"/>
      <c r="J29" s="4"/>
      <c r="K29" s="6" t="str">
        <f t="shared" si="1"/>
        <v/>
      </c>
      <c r="L29" s="1" t="str">
        <f t="shared" si="2"/>
        <v/>
      </c>
    </row>
    <row r="30" spans="1:12" ht="15" customHeight="1" x14ac:dyDescent="0.35">
      <c r="A30" s="1" t="str">
        <f t="shared" si="0"/>
        <v/>
      </c>
      <c r="B30" s="2"/>
      <c r="C30" s="3"/>
      <c r="D30" s="4"/>
      <c r="E30" s="5"/>
      <c r="F30" s="4"/>
      <c r="G30" s="4"/>
      <c r="H30" s="4"/>
      <c r="I30" s="4"/>
      <c r="J30" s="4"/>
      <c r="K30" s="6" t="str">
        <f t="shared" si="1"/>
        <v/>
      </c>
      <c r="L30" s="1" t="str">
        <f t="shared" si="2"/>
        <v/>
      </c>
    </row>
    <row r="31" spans="1:12" ht="15" customHeight="1" x14ac:dyDescent="0.35">
      <c r="A31" s="1" t="str">
        <f t="shared" si="0"/>
        <v/>
      </c>
      <c r="B31" s="2"/>
      <c r="C31" s="3"/>
      <c r="D31" s="4"/>
      <c r="E31" s="5"/>
      <c r="F31" s="4"/>
      <c r="G31" s="4"/>
      <c r="H31" s="4"/>
      <c r="I31" s="4"/>
      <c r="J31" s="4"/>
      <c r="K31" s="6" t="str">
        <f t="shared" si="1"/>
        <v/>
      </c>
      <c r="L31" s="1" t="str">
        <f t="shared" si="2"/>
        <v/>
      </c>
    </row>
    <row r="32" spans="1:12" ht="15" customHeight="1" x14ac:dyDescent="0.35">
      <c r="A32" s="1" t="str">
        <f t="shared" si="0"/>
        <v/>
      </c>
      <c r="B32" s="2"/>
      <c r="C32" s="3"/>
      <c r="D32" s="4"/>
      <c r="E32" s="5"/>
      <c r="F32" s="4"/>
      <c r="G32" s="4"/>
      <c r="H32" s="4"/>
      <c r="I32" s="4"/>
      <c r="J32" s="4"/>
      <c r="K32" s="6" t="str">
        <f t="shared" si="1"/>
        <v/>
      </c>
      <c r="L32" s="1" t="str">
        <f t="shared" si="2"/>
        <v/>
      </c>
    </row>
    <row r="33" spans="1:12" ht="15" customHeight="1" x14ac:dyDescent="0.35">
      <c r="A33" s="1" t="str">
        <f t="shared" si="0"/>
        <v/>
      </c>
      <c r="B33" s="2"/>
      <c r="C33" s="3"/>
      <c r="D33" s="4"/>
      <c r="E33" s="5"/>
      <c r="F33" s="4"/>
      <c r="G33" s="4"/>
      <c r="H33" s="4"/>
      <c r="I33" s="4"/>
      <c r="J33" s="4"/>
      <c r="K33" s="6" t="str">
        <f t="shared" si="1"/>
        <v/>
      </c>
      <c r="L33" s="1" t="str">
        <f t="shared" si="2"/>
        <v/>
      </c>
    </row>
    <row r="34" spans="1:12" ht="15" customHeight="1" x14ac:dyDescent="0.35">
      <c r="A34" s="1" t="str">
        <f t="shared" si="0"/>
        <v/>
      </c>
      <c r="B34" s="2"/>
      <c r="C34" s="3"/>
      <c r="D34" s="4"/>
      <c r="E34" s="5"/>
      <c r="F34" s="4"/>
      <c r="G34" s="4"/>
      <c r="H34" s="4"/>
      <c r="I34" s="4"/>
      <c r="J34" s="4"/>
      <c r="K34" s="6" t="str">
        <f t="shared" ref="K34:K51" si="3">IF(I34="","",IF(I34=0,"No sellable items",C34/I34))</f>
        <v/>
      </c>
      <c r="L34" s="1" t="str">
        <f t="shared" ref="L34:L51" si="4">IF(G34="","",IF(G34=H34+I34+J34,"✓","✗ Mismatch"))</f>
        <v/>
      </c>
    </row>
    <row r="35" spans="1:12" ht="15" customHeight="1" x14ac:dyDescent="0.35">
      <c r="A35" s="1" t="str">
        <f t="shared" si="0"/>
        <v/>
      </c>
      <c r="B35" s="2"/>
      <c r="C35" s="3"/>
      <c r="D35" s="4"/>
      <c r="E35" s="5"/>
      <c r="F35" s="4"/>
      <c r="G35" s="4"/>
      <c r="H35" s="4"/>
      <c r="I35" s="4"/>
      <c r="J35" s="4"/>
      <c r="K35" s="6" t="str">
        <f t="shared" si="3"/>
        <v/>
      </c>
      <c r="L35" s="1" t="str">
        <f t="shared" si="4"/>
        <v/>
      </c>
    </row>
    <row r="36" spans="1:12" ht="15" customHeight="1" x14ac:dyDescent="0.35">
      <c r="A36" s="1" t="str">
        <f t="shared" si="0"/>
        <v/>
      </c>
      <c r="B36" s="2"/>
      <c r="C36" s="3"/>
      <c r="D36" s="4"/>
      <c r="E36" s="5"/>
      <c r="F36" s="4"/>
      <c r="G36" s="4"/>
      <c r="H36" s="4"/>
      <c r="I36" s="4"/>
      <c r="J36" s="4"/>
      <c r="K36" s="6" t="str">
        <f t="shared" si="3"/>
        <v/>
      </c>
      <c r="L36" s="1" t="str">
        <f t="shared" si="4"/>
        <v/>
      </c>
    </row>
    <row r="37" spans="1:12" ht="15" customHeight="1" x14ac:dyDescent="0.35">
      <c r="A37" s="1" t="str">
        <f t="shared" si="0"/>
        <v/>
      </c>
      <c r="B37" s="2"/>
      <c r="C37" s="3"/>
      <c r="D37" s="4"/>
      <c r="E37" s="5"/>
      <c r="F37" s="4"/>
      <c r="G37" s="4"/>
      <c r="H37" s="4"/>
      <c r="I37" s="4"/>
      <c r="J37" s="4"/>
      <c r="K37" s="6" t="str">
        <f t="shared" si="3"/>
        <v/>
      </c>
      <c r="L37" s="1" t="str">
        <f t="shared" si="4"/>
        <v/>
      </c>
    </row>
    <row r="38" spans="1:12" ht="15" customHeight="1" x14ac:dyDescent="0.35">
      <c r="A38" s="1" t="str">
        <f t="shared" si="0"/>
        <v/>
      </c>
      <c r="B38" s="2"/>
      <c r="C38" s="3"/>
      <c r="D38" s="4"/>
      <c r="E38" s="5"/>
      <c r="F38" s="4"/>
      <c r="G38" s="4"/>
      <c r="H38" s="4"/>
      <c r="I38" s="4"/>
      <c r="J38" s="4"/>
      <c r="K38" s="6" t="str">
        <f t="shared" si="3"/>
        <v/>
      </c>
      <c r="L38" s="1" t="str">
        <f t="shared" si="4"/>
        <v/>
      </c>
    </row>
    <row r="39" spans="1:12" ht="15" customHeight="1" x14ac:dyDescent="0.35">
      <c r="A39" s="1" t="str">
        <f t="shared" si="0"/>
        <v/>
      </c>
      <c r="B39" s="2"/>
      <c r="C39" s="3"/>
      <c r="D39" s="4"/>
      <c r="E39" s="5"/>
      <c r="F39" s="4"/>
      <c r="G39" s="4"/>
      <c r="H39" s="4"/>
      <c r="I39" s="4"/>
      <c r="J39" s="4"/>
      <c r="K39" s="6" t="str">
        <f t="shared" si="3"/>
        <v/>
      </c>
      <c r="L39" s="1" t="str">
        <f t="shared" si="4"/>
        <v/>
      </c>
    </row>
    <row r="40" spans="1:12" ht="15" customHeight="1" x14ac:dyDescent="0.35">
      <c r="A40" s="1" t="str">
        <f t="shared" si="0"/>
        <v/>
      </c>
      <c r="B40" s="2"/>
      <c r="C40" s="3"/>
      <c r="D40" s="4"/>
      <c r="E40" s="5"/>
      <c r="F40" s="4"/>
      <c r="G40" s="4"/>
      <c r="H40" s="4"/>
      <c r="I40" s="4"/>
      <c r="J40" s="4"/>
      <c r="K40" s="6" t="str">
        <f t="shared" si="3"/>
        <v/>
      </c>
      <c r="L40" s="1" t="str">
        <f t="shared" si="4"/>
        <v/>
      </c>
    </row>
    <row r="41" spans="1:12" ht="15" customHeight="1" x14ac:dyDescent="0.35">
      <c r="A41" s="1" t="str">
        <f t="shared" si="0"/>
        <v/>
      </c>
      <c r="B41" s="2"/>
      <c r="C41" s="3"/>
      <c r="D41" s="4"/>
      <c r="E41" s="5"/>
      <c r="F41" s="4"/>
      <c r="G41" s="4"/>
      <c r="H41" s="4"/>
      <c r="I41" s="4"/>
      <c r="J41" s="4"/>
      <c r="K41" s="6" t="str">
        <f t="shared" si="3"/>
        <v/>
      </c>
      <c r="L41" s="1" t="str">
        <f t="shared" si="4"/>
        <v/>
      </c>
    </row>
    <row r="42" spans="1:12" ht="15" customHeight="1" x14ac:dyDescent="0.35">
      <c r="A42" s="1" t="str">
        <f t="shared" si="0"/>
        <v/>
      </c>
      <c r="B42" s="2"/>
      <c r="C42" s="3"/>
      <c r="D42" s="4"/>
      <c r="E42" s="5"/>
      <c r="F42" s="4"/>
      <c r="G42" s="4"/>
      <c r="H42" s="4"/>
      <c r="I42" s="4"/>
      <c r="J42" s="4"/>
      <c r="K42" s="6" t="str">
        <f t="shared" si="3"/>
        <v/>
      </c>
      <c r="L42" s="1" t="str">
        <f t="shared" si="4"/>
        <v/>
      </c>
    </row>
    <row r="43" spans="1:12" ht="15" customHeight="1" x14ac:dyDescent="0.35">
      <c r="A43" s="1" t="str">
        <f t="shared" si="0"/>
        <v/>
      </c>
      <c r="B43" s="2"/>
      <c r="C43" s="3"/>
      <c r="D43" s="4"/>
      <c r="E43" s="5"/>
      <c r="F43" s="4"/>
      <c r="G43" s="4"/>
      <c r="H43" s="4"/>
      <c r="I43" s="4"/>
      <c r="J43" s="4"/>
      <c r="K43" s="6" t="str">
        <f t="shared" si="3"/>
        <v/>
      </c>
      <c r="L43" s="1" t="str">
        <f t="shared" si="4"/>
        <v/>
      </c>
    </row>
    <row r="44" spans="1:12" ht="15" customHeight="1" x14ac:dyDescent="0.35">
      <c r="A44" s="1" t="str">
        <f t="shared" si="0"/>
        <v/>
      </c>
      <c r="B44" s="2"/>
      <c r="C44" s="3"/>
      <c r="D44" s="4"/>
      <c r="E44" s="5"/>
      <c r="F44" s="4"/>
      <c r="G44" s="4"/>
      <c r="H44" s="4"/>
      <c r="I44" s="4"/>
      <c r="J44" s="4"/>
      <c r="K44" s="6" t="str">
        <f t="shared" si="3"/>
        <v/>
      </c>
      <c r="L44" s="1" t="str">
        <f t="shared" si="4"/>
        <v/>
      </c>
    </row>
    <row r="45" spans="1:12" ht="15" customHeight="1" x14ac:dyDescent="0.35">
      <c r="A45" s="1" t="str">
        <f t="shared" si="0"/>
        <v/>
      </c>
      <c r="B45" s="2"/>
      <c r="C45" s="3"/>
      <c r="D45" s="4"/>
      <c r="E45" s="5"/>
      <c r="F45" s="4"/>
      <c r="G45" s="4"/>
      <c r="H45" s="4"/>
      <c r="I45" s="4"/>
      <c r="J45" s="4"/>
      <c r="K45" s="6" t="str">
        <f t="shared" si="3"/>
        <v/>
      </c>
      <c r="L45" s="1" t="str">
        <f t="shared" si="4"/>
        <v/>
      </c>
    </row>
    <row r="46" spans="1:12" ht="15" customHeight="1" x14ac:dyDescent="0.35">
      <c r="A46" s="1" t="str">
        <f t="shared" si="0"/>
        <v/>
      </c>
      <c r="B46" s="2"/>
      <c r="C46" s="3"/>
      <c r="D46" s="4"/>
      <c r="E46" s="5"/>
      <c r="F46" s="4"/>
      <c r="G46" s="4"/>
      <c r="H46" s="4"/>
      <c r="I46" s="4"/>
      <c r="J46" s="4"/>
      <c r="K46" s="6" t="str">
        <f t="shared" si="3"/>
        <v/>
      </c>
      <c r="L46" s="1" t="str">
        <f t="shared" si="4"/>
        <v/>
      </c>
    </row>
    <row r="47" spans="1:12" ht="15" customHeight="1" x14ac:dyDescent="0.35">
      <c r="A47" s="1" t="str">
        <f t="shared" si="0"/>
        <v/>
      </c>
      <c r="B47" s="2"/>
      <c r="C47" s="3"/>
      <c r="D47" s="4"/>
      <c r="E47" s="5"/>
      <c r="F47" s="4"/>
      <c r="G47" s="4"/>
      <c r="H47" s="4"/>
      <c r="I47" s="4"/>
      <c r="J47" s="4"/>
      <c r="K47" s="6" t="str">
        <f t="shared" si="3"/>
        <v/>
      </c>
      <c r="L47" s="1" t="str">
        <f t="shared" si="4"/>
        <v/>
      </c>
    </row>
    <row r="48" spans="1:12" ht="15" customHeight="1" x14ac:dyDescent="0.35">
      <c r="A48" s="1" t="str">
        <f t="shared" si="0"/>
        <v/>
      </c>
      <c r="B48" s="2"/>
      <c r="C48" s="3"/>
      <c r="D48" s="4"/>
      <c r="E48" s="5"/>
      <c r="F48" s="4"/>
      <c r="G48" s="4"/>
      <c r="H48" s="4"/>
      <c r="I48" s="4"/>
      <c r="J48" s="4"/>
      <c r="K48" s="6" t="str">
        <f t="shared" si="3"/>
        <v/>
      </c>
      <c r="L48" s="1" t="str">
        <f t="shared" si="4"/>
        <v/>
      </c>
    </row>
    <row r="49" spans="1:12" ht="15" customHeight="1" x14ac:dyDescent="0.35">
      <c r="A49" s="1" t="str">
        <f t="shared" si="0"/>
        <v/>
      </c>
      <c r="B49" s="2"/>
      <c r="C49" s="3"/>
      <c r="D49" s="4"/>
      <c r="E49" s="5"/>
      <c r="F49" s="4"/>
      <c r="G49" s="4"/>
      <c r="H49" s="4"/>
      <c r="I49" s="4"/>
      <c r="J49" s="4"/>
      <c r="K49" s="6" t="str">
        <f t="shared" si="3"/>
        <v/>
      </c>
      <c r="L49" s="1" t="str">
        <f t="shared" si="4"/>
        <v/>
      </c>
    </row>
    <row r="50" spans="1:12" ht="15" customHeight="1" x14ac:dyDescent="0.35">
      <c r="A50" s="1" t="str">
        <f t="shared" si="0"/>
        <v/>
      </c>
      <c r="B50" s="2"/>
      <c r="C50" s="3"/>
      <c r="D50" s="4"/>
      <c r="E50" s="5"/>
      <c r="F50" s="4"/>
      <c r="G50" s="4"/>
      <c r="H50" s="4"/>
      <c r="I50" s="4"/>
      <c r="J50" s="4"/>
      <c r="K50" s="6" t="str">
        <f t="shared" si="3"/>
        <v/>
      </c>
      <c r="L50" s="1" t="str">
        <f t="shared" si="4"/>
        <v/>
      </c>
    </row>
    <row r="51" spans="1:12" ht="15" customHeight="1" x14ac:dyDescent="0.35">
      <c r="A51" s="1" t="str">
        <f t="shared" si="0"/>
        <v/>
      </c>
      <c r="B51" s="2"/>
      <c r="C51" s="3"/>
      <c r="D51" s="4"/>
      <c r="E51" s="5"/>
      <c r="F51" s="4"/>
      <c r="G51" s="4"/>
      <c r="H51" s="4"/>
      <c r="I51" s="4"/>
      <c r="J51" s="4"/>
      <c r="K51" s="6" t="str">
        <f t="shared" si="3"/>
        <v/>
      </c>
      <c r="L51" s="1" t="str">
        <f t="shared" si="4"/>
        <v/>
      </c>
    </row>
  </sheetData>
  <dataValidations count="1">
    <dataValidation type="list" allowBlank="1" promptTitle="Busy Level" prompt="How crowded was it?" sqref="F2:F51" xr:uid="{5D8F8D2C-ECE6-4CD3-B45B-53AB2B4AE735}">
      <formula1>"Low,Medium,High"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J199"/>
  <sheetViews>
    <sheetView tabSelected="1" zoomScale="75" zoomScaleNormal="100" workbookViewId="0">
      <pane ySplit="1" topLeftCell="A2" activePane="bottomLeft" state="frozen"/>
      <selection pane="bottomLeft"/>
    </sheetView>
  </sheetViews>
  <sheetFormatPr defaultColWidth="8.453125" defaultRowHeight="14.5" x14ac:dyDescent="0.35"/>
  <cols>
    <col min="1" max="2" width="14" customWidth="1"/>
    <col min="3" max="3" width="22.08984375" customWidth="1"/>
    <col min="4" max="5" width="9.90625" customWidth="1"/>
    <col min="6" max="6" width="35" customWidth="1"/>
    <col min="7" max="7" width="23" customWidth="1"/>
    <col min="8" max="9" width="22.08984375" customWidth="1"/>
    <col min="10" max="10" width="12" customWidth="1"/>
  </cols>
  <sheetData>
    <row r="1" spans="1:10" ht="27.75" customHeight="1" x14ac:dyDescent="0.35">
      <c r="A1" s="16" t="s">
        <v>13</v>
      </c>
      <c r="B1" s="16" t="s">
        <v>0</v>
      </c>
      <c r="C1" s="16" t="s">
        <v>14</v>
      </c>
      <c r="D1" s="16" t="s">
        <v>15</v>
      </c>
      <c r="E1" s="16" t="s">
        <v>16</v>
      </c>
      <c r="F1" s="16" t="s">
        <v>17</v>
      </c>
      <c r="G1" s="16" t="s">
        <v>18</v>
      </c>
      <c r="H1" s="16" t="s">
        <v>19</v>
      </c>
      <c r="I1" s="16" t="s">
        <v>20</v>
      </c>
      <c r="J1" s="16" t="s">
        <v>21</v>
      </c>
    </row>
    <row r="2" spans="1:10" ht="15" customHeight="1" x14ac:dyDescent="0.35">
      <c r="A2" s="7" t="str">
        <f>IF(C2="","","T"&amp;TEXT(B2,"000")&amp;"I"&amp;TEXT(COUNTIF(B$2:B2,B2),"000"))</f>
        <v>T001I001</v>
      </c>
      <c r="B2" s="7">
        <v>1</v>
      </c>
      <c r="C2" s="8" t="s">
        <v>115</v>
      </c>
      <c r="D2" s="7" t="s">
        <v>138</v>
      </c>
      <c r="E2" s="7" t="s">
        <v>24</v>
      </c>
      <c r="F2" s="8" t="s">
        <v>139</v>
      </c>
      <c r="G2" s="8"/>
      <c r="H2" s="8"/>
      <c r="I2" s="8" t="s">
        <v>116</v>
      </c>
      <c r="J2" s="8" t="s">
        <v>36</v>
      </c>
    </row>
    <row r="3" spans="1:10" ht="15" customHeight="1" x14ac:dyDescent="0.35">
      <c r="A3" s="7" t="str">
        <f>IF(C3="","","T"&amp;TEXT(B3,"000")&amp;"I"&amp;TEXT(COUNTIF(B$2:B3,B3),"000"))</f>
        <v>T001I002</v>
      </c>
      <c r="B3" s="7">
        <v>1</v>
      </c>
      <c r="C3" s="8" t="s">
        <v>43</v>
      </c>
      <c r="D3" s="7" t="s">
        <v>42</v>
      </c>
      <c r="E3" s="7" t="s">
        <v>24</v>
      </c>
      <c r="F3" s="8" t="s">
        <v>140</v>
      </c>
      <c r="G3" s="8"/>
      <c r="H3" s="8"/>
      <c r="I3" s="8" t="s">
        <v>141</v>
      </c>
      <c r="J3" s="8" t="s">
        <v>36</v>
      </c>
    </row>
    <row r="4" spans="1:10" ht="15" customHeight="1" x14ac:dyDescent="0.35">
      <c r="A4" s="7" t="str">
        <f>IF(C4="","","T"&amp;TEXT(B4,"000")&amp;"I"&amp;TEXT(COUNTIF(B$2:B4,B4),"000"))</f>
        <v>T001I003</v>
      </c>
      <c r="B4" s="7">
        <v>1</v>
      </c>
      <c r="C4" s="8" t="s">
        <v>142</v>
      </c>
      <c r="D4" s="7" t="s">
        <v>30</v>
      </c>
      <c r="E4" s="7" t="s">
        <v>23</v>
      </c>
      <c r="F4" s="8" t="s">
        <v>143</v>
      </c>
      <c r="G4" s="8"/>
      <c r="H4" s="8"/>
      <c r="I4" s="8" t="s">
        <v>28</v>
      </c>
      <c r="J4" s="8" t="s">
        <v>36</v>
      </c>
    </row>
    <row r="5" spans="1:10" ht="15" customHeight="1" x14ac:dyDescent="0.35">
      <c r="A5" s="7" t="str">
        <f>IF(C5="","","T"&amp;TEXT(B5,"000")&amp;"I"&amp;TEXT(COUNTIF(B$2:B5,B5),"000"))</f>
        <v>T001I004</v>
      </c>
      <c r="B5" s="7">
        <v>1</v>
      </c>
      <c r="C5" s="8" t="s">
        <v>144</v>
      </c>
      <c r="D5" s="7" t="s">
        <v>27</v>
      </c>
      <c r="E5" s="7" t="s">
        <v>24</v>
      </c>
      <c r="F5" s="8" t="s">
        <v>145</v>
      </c>
      <c r="G5" s="8"/>
      <c r="H5" s="8"/>
      <c r="I5" s="8" t="s">
        <v>40</v>
      </c>
      <c r="J5" s="8" t="s">
        <v>36</v>
      </c>
    </row>
    <row r="6" spans="1:10" ht="15" customHeight="1" x14ac:dyDescent="0.35">
      <c r="A6" s="7" t="str">
        <f>IF(C6="","","T"&amp;TEXT(B6,"000")&amp;"I"&amp;TEXT(COUNTIF(B$2:B6,B6),"000"))</f>
        <v>T001I005</v>
      </c>
      <c r="B6" s="7">
        <v>1</v>
      </c>
      <c r="C6" s="8" t="s">
        <v>132</v>
      </c>
      <c r="D6" s="7" t="s">
        <v>30</v>
      </c>
      <c r="E6" s="7" t="s">
        <v>24</v>
      </c>
      <c r="F6" s="8" t="s">
        <v>146</v>
      </c>
      <c r="G6" s="8"/>
      <c r="H6" s="8"/>
      <c r="I6" s="8" t="s">
        <v>28</v>
      </c>
      <c r="J6" s="8" t="s">
        <v>36</v>
      </c>
    </row>
    <row r="7" spans="1:10" ht="15" customHeight="1" x14ac:dyDescent="0.35">
      <c r="A7" s="7" t="str">
        <f>IF(C7="","","T"&amp;TEXT(B7,"000")&amp;"I"&amp;TEXT(COUNTIF(B$2:B7,B7),"000"))</f>
        <v>T001I006</v>
      </c>
      <c r="B7" s="7">
        <v>1</v>
      </c>
      <c r="C7" s="8" t="s">
        <v>22</v>
      </c>
      <c r="D7" s="7" t="s">
        <v>32</v>
      </c>
      <c r="E7" s="7" t="s">
        <v>24</v>
      </c>
      <c r="F7" s="8" t="s">
        <v>147</v>
      </c>
      <c r="G7" s="8"/>
      <c r="H7" s="8"/>
      <c r="I7" s="8" t="s">
        <v>25</v>
      </c>
      <c r="J7" s="8" t="s">
        <v>36</v>
      </c>
    </row>
    <row r="8" spans="1:10" ht="15" customHeight="1" x14ac:dyDescent="0.35">
      <c r="A8" s="7" t="str">
        <f>IF(C8="","","T"&amp;TEXT(B8,"000")&amp;"I"&amp;TEXT(COUNTIF(B$2:B8,B8),"000"))</f>
        <v>T001I007</v>
      </c>
      <c r="B8" s="7">
        <v>1</v>
      </c>
      <c r="C8" s="8" t="s">
        <v>39</v>
      </c>
      <c r="D8" s="7" t="s">
        <v>30</v>
      </c>
      <c r="E8" s="7" t="s">
        <v>24</v>
      </c>
      <c r="F8" s="8" t="s">
        <v>148</v>
      </c>
      <c r="G8" s="8"/>
      <c r="H8" s="8"/>
      <c r="I8" s="8" t="s">
        <v>25</v>
      </c>
      <c r="J8" s="8" t="s">
        <v>36</v>
      </c>
    </row>
    <row r="9" spans="1:10" ht="15" customHeight="1" x14ac:dyDescent="0.35">
      <c r="A9" s="7" t="str">
        <f>IF(C9="","","T"&amp;TEXT(B9,"000")&amp;"I"&amp;TEXT(COUNTIF(B$2:B9,B9),"000"))</f>
        <v>T001I008</v>
      </c>
      <c r="B9" s="7">
        <v>1</v>
      </c>
      <c r="C9" s="8" t="s">
        <v>43</v>
      </c>
      <c r="D9" s="7" t="s">
        <v>99</v>
      </c>
      <c r="E9" s="7" t="s">
        <v>24</v>
      </c>
      <c r="F9" s="8" t="s">
        <v>149</v>
      </c>
      <c r="G9" s="8"/>
      <c r="H9" s="8"/>
      <c r="I9" s="8" t="s">
        <v>87</v>
      </c>
      <c r="J9" s="8" t="s">
        <v>36</v>
      </c>
    </row>
    <row r="10" spans="1:10" ht="15" customHeight="1" x14ac:dyDescent="0.35">
      <c r="A10" s="7" t="str">
        <f>IF(C10="","","T"&amp;TEXT(B10,"000")&amp;"I"&amp;TEXT(COUNTIF(B$2:B10,B10),"000"))</f>
        <v>T001I009</v>
      </c>
      <c r="B10" s="7">
        <v>1</v>
      </c>
      <c r="C10" s="8" t="s">
        <v>33</v>
      </c>
      <c r="D10" s="7" t="s">
        <v>23</v>
      </c>
      <c r="E10" s="7" t="s">
        <v>24</v>
      </c>
      <c r="F10" s="8" t="s">
        <v>150</v>
      </c>
      <c r="G10" s="8"/>
      <c r="H10" s="8"/>
      <c r="I10" s="8" t="s">
        <v>28</v>
      </c>
      <c r="J10" s="8" t="s">
        <v>36</v>
      </c>
    </row>
    <row r="11" spans="1:10" ht="15" customHeight="1" x14ac:dyDescent="0.35">
      <c r="A11" s="7" t="str">
        <f>IF(C11="","","T"&amp;TEXT(B11,"000")&amp;"I"&amp;TEXT(COUNTIF(B$2:B11,B11),"000"))</f>
        <v>T001I010</v>
      </c>
      <c r="B11" s="7">
        <v>1</v>
      </c>
      <c r="C11" s="8" t="s">
        <v>151</v>
      </c>
      <c r="D11" s="7" t="s">
        <v>27</v>
      </c>
      <c r="E11" s="7" t="s">
        <v>24</v>
      </c>
      <c r="F11" s="8" t="s">
        <v>152</v>
      </c>
      <c r="G11" s="8"/>
      <c r="H11" s="8"/>
      <c r="I11" s="8" t="s">
        <v>25</v>
      </c>
      <c r="J11" s="8" t="s">
        <v>36</v>
      </c>
    </row>
    <row r="12" spans="1:10" ht="15" customHeight="1" x14ac:dyDescent="0.35">
      <c r="A12" s="7" t="str">
        <f>IF(C12="","","T"&amp;TEXT(B12,"000")&amp;"I"&amp;TEXT(COUNTIF(B$2:B12,B12),"000"))</f>
        <v>T001I011</v>
      </c>
      <c r="B12" s="7">
        <v>1</v>
      </c>
      <c r="C12" s="8" t="s">
        <v>113</v>
      </c>
      <c r="D12" s="7" t="s">
        <v>23</v>
      </c>
      <c r="E12" s="7" t="s">
        <v>23</v>
      </c>
      <c r="F12" s="8" t="s">
        <v>153</v>
      </c>
      <c r="G12" s="8"/>
      <c r="H12" s="8"/>
      <c r="I12" s="8" t="s">
        <v>25</v>
      </c>
      <c r="J12" s="8" t="s">
        <v>36</v>
      </c>
    </row>
    <row r="13" spans="1:10" ht="15" customHeight="1" x14ac:dyDescent="0.35">
      <c r="A13" s="7" t="str">
        <f>IF(C13="","","T"&amp;TEXT(B13,"000")&amp;"I"&amp;TEXT(COUNTIF(B$2:B13,B13),"000"))</f>
        <v>T001I012</v>
      </c>
      <c r="B13" s="7">
        <v>1</v>
      </c>
      <c r="C13" s="8" t="s">
        <v>33</v>
      </c>
      <c r="D13" s="7" t="s">
        <v>23</v>
      </c>
      <c r="E13" s="7" t="s">
        <v>24</v>
      </c>
      <c r="F13" s="8" t="s">
        <v>154</v>
      </c>
      <c r="G13" s="8"/>
      <c r="H13" s="8"/>
      <c r="I13" s="8" t="s">
        <v>40</v>
      </c>
      <c r="J13" s="8" t="s">
        <v>36</v>
      </c>
    </row>
    <row r="14" spans="1:10" ht="15" customHeight="1" x14ac:dyDescent="0.35">
      <c r="A14" s="7" t="str">
        <f>IF(C14="","","T"&amp;TEXT(B14,"000")&amp;"I"&amp;TEXT(COUNTIF(B$2:B14,B14),"000"))</f>
        <v>T001I013</v>
      </c>
      <c r="B14" s="7">
        <v>1</v>
      </c>
      <c r="C14" s="8" t="s">
        <v>151</v>
      </c>
      <c r="D14" s="7" t="s">
        <v>27</v>
      </c>
      <c r="E14" s="7" t="s">
        <v>23</v>
      </c>
      <c r="F14" s="8" t="s">
        <v>155</v>
      </c>
      <c r="G14" s="8"/>
      <c r="H14" s="8"/>
      <c r="I14" s="8" t="s">
        <v>28</v>
      </c>
      <c r="J14" s="8" t="s">
        <v>26</v>
      </c>
    </row>
    <row r="15" spans="1:10" ht="15" customHeight="1" x14ac:dyDescent="0.35">
      <c r="A15" s="7" t="str">
        <f>IF(C15="","","T"&amp;TEXT(B15,"000")&amp;"I"&amp;TEXT(COUNTIF(B$2:B15,B15),"000"))</f>
        <v>T001I014</v>
      </c>
      <c r="B15" s="7">
        <v>1</v>
      </c>
      <c r="C15" s="8" t="s">
        <v>156</v>
      </c>
      <c r="D15" s="7" t="s">
        <v>27</v>
      </c>
      <c r="E15" s="7" t="s">
        <v>24</v>
      </c>
      <c r="F15" s="8" t="s">
        <v>157</v>
      </c>
      <c r="G15" s="8"/>
      <c r="H15" s="8"/>
      <c r="I15" s="8" t="s">
        <v>25</v>
      </c>
      <c r="J15" s="8" t="s">
        <v>26</v>
      </c>
    </row>
    <row r="16" spans="1:10" ht="15" customHeight="1" x14ac:dyDescent="0.35">
      <c r="A16" s="7" t="str">
        <f>IF(C16="","","T"&amp;TEXT(B16,"000")&amp;"I"&amp;TEXT(COUNTIF(B$2:B16,B16),"000"))</f>
        <v>T001I015</v>
      </c>
      <c r="B16" s="7">
        <v>1</v>
      </c>
      <c r="C16" s="8" t="s">
        <v>98</v>
      </c>
      <c r="D16" s="7" t="s">
        <v>30</v>
      </c>
      <c r="E16" s="7" t="s">
        <v>23</v>
      </c>
      <c r="F16" s="8" t="s">
        <v>158</v>
      </c>
      <c r="G16" s="8"/>
      <c r="H16" s="8" t="s">
        <v>159</v>
      </c>
      <c r="I16" s="8" t="s">
        <v>25</v>
      </c>
      <c r="J16" s="8" t="s">
        <v>35</v>
      </c>
    </row>
    <row r="17" spans="1:10" ht="15" customHeight="1" x14ac:dyDescent="0.35">
      <c r="A17" s="7" t="str">
        <f>IF(C17="","","T"&amp;TEXT(B17,"000")&amp;"I"&amp;TEXT(COUNTIF(B$2:B17,B17),"000"))</f>
        <v>T001I016</v>
      </c>
      <c r="B17" s="7">
        <v>1</v>
      </c>
      <c r="C17" s="8" t="s">
        <v>101</v>
      </c>
      <c r="D17" s="7" t="s">
        <v>23</v>
      </c>
      <c r="E17" s="7" t="s">
        <v>23</v>
      </c>
      <c r="F17" s="8" t="s">
        <v>160</v>
      </c>
      <c r="G17" s="8"/>
      <c r="H17" s="8" t="s">
        <v>161</v>
      </c>
      <c r="I17" s="8" t="s">
        <v>25</v>
      </c>
      <c r="J17" s="8" t="s">
        <v>35</v>
      </c>
    </row>
    <row r="18" spans="1:10" ht="15" customHeight="1" x14ac:dyDescent="0.35">
      <c r="A18" s="7" t="str">
        <f>IF(C18="","","T"&amp;TEXT(B18,"000")&amp;"I"&amp;TEXT(COUNTIF(B$2:B18,B18),"000"))</f>
        <v>T001I017</v>
      </c>
      <c r="B18" s="7">
        <v>1</v>
      </c>
      <c r="C18" s="8" t="s">
        <v>33</v>
      </c>
      <c r="D18" s="7" t="s">
        <v>23</v>
      </c>
      <c r="E18" s="7" t="s">
        <v>24</v>
      </c>
      <c r="F18" s="8" t="s">
        <v>162</v>
      </c>
      <c r="G18" s="8"/>
      <c r="H18" s="8" t="s">
        <v>161</v>
      </c>
      <c r="I18" s="8" t="s">
        <v>25</v>
      </c>
      <c r="J18" s="8" t="s">
        <v>35</v>
      </c>
    </row>
    <row r="19" spans="1:10" ht="15" customHeight="1" x14ac:dyDescent="0.35">
      <c r="A19" s="7" t="str">
        <f>IF(C19="","","T"&amp;TEXT(B19,"000")&amp;"I"&amp;TEXT(COUNTIF(B$2:B19,B19),"000"))</f>
        <v>T002I001</v>
      </c>
      <c r="B19" s="7">
        <v>2</v>
      </c>
      <c r="C19" s="8" t="s">
        <v>29</v>
      </c>
      <c r="D19" s="7" t="s">
        <v>23</v>
      </c>
      <c r="E19" s="7" t="s">
        <v>24</v>
      </c>
      <c r="F19" s="8" t="s">
        <v>163</v>
      </c>
      <c r="G19" s="8"/>
      <c r="H19" s="8"/>
      <c r="I19" s="8" t="s">
        <v>40</v>
      </c>
      <c r="J19" s="8" t="s">
        <v>36</v>
      </c>
    </row>
    <row r="20" spans="1:10" ht="15" customHeight="1" x14ac:dyDescent="0.35">
      <c r="A20" s="7" t="str">
        <f>IF(C20="","","T"&amp;TEXT(B20,"000")&amp;"I"&amp;TEXT(COUNTIF(B$2:B20,B20),"000"))</f>
        <v>T002I002</v>
      </c>
      <c r="B20" s="7">
        <v>2</v>
      </c>
      <c r="C20" s="8" t="s">
        <v>129</v>
      </c>
      <c r="D20" s="7" t="s">
        <v>27</v>
      </c>
      <c r="E20" s="7" t="s">
        <v>24</v>
      </c>
      <c r="F20" s="8" t="s">
        <v>164</v>
      </c>
      <c r="G20" s="8"/>
      <c r="H20" s="8"/>
      <c r="I20" s="8" t="s">
        <v>25</v>
      </c>
      <c r="J20" s="8" t="s">
        <v>36</v>
      </c>
    </row>
    <row r="21" spans="1:10" ht="15" customHeight="1" x14ac:dyDescent="0.35">
      <c r="A21" s="7" t="str">
        <f>IF(C21="","","T"&amp;TEXT(B21,"000")&amp;"I"&amp;TEXT(COUNTIF(B$2:B21,B21),"000"))</f>
        <v>T002I003</v>
      </c>
      <c r="B21" s="7">
        <v>2</v>
      </c>
      <c r="C21" s="8" t="s">
        <v>98</v>
      </c>
      <c r="D21" s="7" t="s">
        <v>30</v>
      </c>
      <c r="E21" s="7" t="s">
        <v>24</v>
      </c>
      <c r="F21" s="8" t="s">
        <v>165</v>
      </c>
      <c r="G21" s="8"/>
      <c r="H21" s="8"/>
      <c r="I21" s="8" t="s">
        <v>25</v>
      </c>
      <c r="J21" s="8" t="s">
        <v>36</v>
      </c>
    </row>
    <row r="22" spans="1:10" ht="15" customHeight="1" x14ac:dyDescent="0.35">
      <c r="A22" s="7" t="str">
        <f>IF(C22="","","T"&amp;TEXT(B22,"000")&amp;"I"&amp;TEXT(COUNTIF(B$2:B22,B22),"000"))</f>
        <v>T002I004</v>
      </c>
      <c r="B22" s="7">
        <v>2</v>
      </c>
      <c r="C22" s="8" t="s">
        <v>131</v>
      </c>
      <c r="D22" s="7" t="s">
        <v>32</v>
      </c>
      <c r="E22" s="7" t="s">
        <v>24</v>
      </c>
      <c r="F22" s="8" t="s">
        <v>166</v>
      </c>
      <c r="G22" s="8"/>
      <c r="H22" s="8"/>
      <c r="I22" s="8" t="s">
        <v>40</v>
      </c>
      <c r="J22" s="8" t="s">
        <v>36</v>
      </c>
    </row>
    <row r="23" spans="1:10" ht="15" customHeight="1" x14ac:dyDescent="0.35">
      <c r="A23" s="7" t="str">
        <f>IF(C23="","","T"&amp;TEXT(B23,"000")&amp;"I"&amp;TEXT(COUNTIF(B$2:B23,B23),"000"))</f>
        <v>T002I005</v>
      </c>
      <c r="B23" s="7">
        <v>2</v>
      </c>
      <c r="C23" s="8" t="s">
        <v>167</v>
      </c>
      <c r="D23" s="7" t="s">
        <v>168</v>
      </c>
      <c r="E23" s="7" t="s">
        <v>24</v>
      </c>
      <c r="F23" s="8" t="s">
        <v>169</v>
      </c>
      <c r="G23" s="8"/>
      <c r="H23" s="8"/>
      <c r="I23" s="8" t="s">
        <v>87</v>
      </c>
      <c r="J23" s="8" t="s">
        <v>36</v>
      </c>
    </row>
    <row r="24" spans="1:10" ht="15" customHeight="1" x14ac:dyDescent="0.35">
      <c r="A24" s="7" t="str">
        <f>IF(C24="","","T"&amp;TEXT(B24,"000")&amp;"I"&amp;TEXT(COUNTIF(B$2:B24,B24),"000"))</f>
        <v>T002I006</v>
      </c>
      <c r="B24" s="7">
        <v>2</v>
      </c>
      <c r="C24" s="8" t="s">
        <v>101</v>
      </c>
      <c r="D24" s="7" t="s">
        <v>170</v>
      </c>
      <c r="E24" s="7" t="s">
        <v>24</v>
      </c>
      <c r="F24" s="8" t="s">
        <v>171</v>
      </c>
      <c r="G24" s="8"/>
      <c r="H24" s="8"/>
      <c r="I24" s="8" t="s">
        <v>116</v>
      </c>
      <c r="J24" s="8" t="s">
        <v>36</v>
      </c>
    </row>
    <row r="25" spans="1:10" ht="15" customHeight="1" x14ac:dyDescent="0.35">
      <c r="A25" s="7" t="str">
        <f>IF(C25="","","T"&amp;TEXT(B25,"000")&amp;"I"&amp;TEXT(COUNTIF(B$2:B25,B25),"000"))</f>
        <v>T002I007</v>
      </c>
      <c r="B25" s="7">
        <v>2</v>
      </c>
      <c r="C25" s="8" t="s">
        <v>90</v>
      </c>
      <c r="D25" s="7" t="s">
        <v>23</v>
      </c>
      <c r="E25" s="7" t="s">
        <v>24</v>
      </c>
      <c r="F25" s="8" t="s">
        <v>172</v>
      </c>
      <c r="G25" s="8"/>
      <c r="H25" s="8"/>
      <c r="I25" s="8" t="s">
        <v>25</v>
      </c>
      <c r="J25" s="8" t="s">
        <v>36</v>
      </c>
    </row>
    <row r="26" spans="1:10" ht="15" customHeight="1" x14ac:dyDescent="0.35">
      <c r="A26" s="7" t="str">
        <f>IF(C26="","","T"&amp;TEXT(B26,"000")&amp;"I"&amp;TEXT(COUNTIF(B$2:B26,B26),"000"))</f>
        <v>T002I008</v>
      </c>
      <c r="B26" s="7">
        <v>2</v>
      </c>
      <c r="C26" s="8" t="s">
        <v>115</v>
      </c>
      <c r="D26" s="7" t="s">
        <v>27</v>
      </c>
      <c r="E26" s="7" t="s">
        <v>24</v>
      </c>
      <c r="F26" s="8" t="s">
        <v>173</v>
      </c>
      <c r="G26" s="8"/>
      <c r="H26" s="8"/>
      <c r="I26" s="8" t="s">
        <v>40</v>
      </c>
      <c r="J26" s="8" t="s">
        <v>36</v>
      </c>
    </row>
    <row r="27" spans="1:10" ht="15" customHeight="1" x14ac:dyDescent="0.35">
      <c r="A27" s="7" t="str">
        <f>IF(C27="","","T"&amp;TEXT(B27,"000")&amp;"I"&amp;TEXT(COUNTIF(B$2:B27,B27),"000"))</f>
        <v>T002I009</v>
      </c>
      <c r="B27" s="7">
        <v>2</v>
      </c>
      <c r="C27" s="8" t="s">
        <v>130</v>
      </c>
      <c r="D27" s="7" t="s">
        <v>32</v>
      </c>
      <c r="E27" s="7" t="s">
        <v>24</v>
      </c>
      <c r="F27" s="8" t="s">
        <v>174</v>
      </c>
      <c r="G27" s="8"/>
      <c r="H27" s="8"/>
      <c r="I27" s="8" t="s">
        <v>141</v>
      </c>
      <c r="J27" s="8" t="s">
        <v>36</v>
      </c>
    </row>
    <row r="28" spans="1:10" ht="15" customHeight="1" x14ac:dyDescent="0.35">
      <c r="A28" s="7" t="str">
        <f>IF(C28="","","T"&amp;TEXT(B28,"000")&amp;"I"&amp;TEXT(COUNTIF(B$2:B28,B28),"000"))</f>
        <v>T002I010</v>
      </c>
      <c r="B28" s="7">
        <v>2</v>
      </c>
      <c r="C28" s="8" t="s">
        <v>43</v>
      </c>
      <c r="D28" s="7" t="s">
        <v>23</v>
      </c>
      <c r="E28" s="7" t="s">
        <v>24</v>
      </c>
      <c r="F28" s="8" t="s">
        <v>175</v>
      </c>
      <c r="G28" s="8"/>
      <c r="H28" s="8"/>
      <c r="I28" s="8" t="s">
        <v>40</v>
      </c>
      <c r="J28" s="8" t="s">
        <v>36</v>
      </c>
    </row>
    <row r="29" spans="1:10" ht="15" customHeight="1" x14ac:dyDescent="0.35">
      <c r="A29" s="7" t="str">
        <f>IF(C29="","","T"&amp;TEXT(B29,"000")&amp;"I"&amp;TEXT(COUNTIF(B$2:B29,B29),"000"))</f>
        <v>T002I011</v>
      </c>
      <c r="B29" s="7">
        <v>2</v>
      </c>
      <c r="C29" s="8" t="s">
        <v>45</v>
      </c>
      <c r="D29" s="7" t="s">
        <v>23</v>
      </c>
      <c r="E29" s="7" t="s">
        <v>24</v>
      </c>
      <c r="F29" s="8" t="s">
        <v>176</v>
      </c>
      <c r="G29" s="8"/>
      <c r="H29" s="8"/>
      <c r="I29" s="8" t="s">
        <v>28</v>
      </c>
      <c r="J29" s="8" t="s">
        <v>26</v>
      </c>
    </row>
    <row r="30" spans="1:10" ht="15" customHeight="1" x14ac:dyDescent="0.35">
      <c r="A30" s="7" t="str">
        <f>IF(C30="","","T"&amp;TEXT(B30,"000")&amp;"I"&amp;TEXT(COUNTIF(B$2:B30,B30),"000"))</f>
        <v>T002I012</v>
      </c>
      <c r="B30" s="7">
        <v>2</v>
      </c>
      <c r="C30" s="8" t="s">
        <v>132</v>
      </c>
      <c r="D30" s="7" t="s">
        <v>27</v>
      </c>
      <c r="E30" s="7" t="s">
        <v>23</v>
      </c>
      <c r="F30" s="8" t="s">
        <v>177</v>
      </c>
      <c r="G30" s="8"/>
      <c r="H30" s="8"/>
      <c r="I30" s="8" t="s">
        <v>141</v>
      </c>
      <c r="J30" s="8" t="s">
        <v>26</v>
      </c>
    </row>
    <row r="31" spans="1:10" ht="15" customHeight="1" x14ac:dyDescent="0.35">
      <c r="A31" s="7" t="str">
        <f>IF(C31="","","T"&amp;TEXT(B31,"000")&amp;"I"&amp;TEXT(COUNTIF(B$2:B31,B31),"000"))</f>
        <v>T002I013</v>
      </c>
      <c r="B31" s="7">
        <v>2</v>
      </c>
      <c r="C31" s="8" t="s">
        <v>33</v>
      </c>
      <c r="D31" s="7" t="s">
        <v>27</v>
      </c>
      <c r="E31" s="7" t="s">
        <v>24</v>
      </c>
      <c r="F31" s="8" t="s">
        <v>178</v>
      </c>
      <c r="G31" s="8"/>
      <c r="H31" s="8"/>
      <c r="I31" s="8" t="s">
        <v>141</v>
      </c>
      <c r="J31" s="8" t="s">
        <v>26</v>
      </c>
    </row>
    <row r="32" spans="1:10" ht="15" customHeight="1" x14ac:dyDescent="0.35">
      <c r="A32" s="7" t="str">
        <f>IF(C32="","","T"&amp;TEXT(B32,"000")&amp;"I"&amp;TEXT(COUNTIF(B$2:B32,B32),"000"))</f>
        <v>T002I014</v>
      </c>
      <c r="B32" s="7">
        <v>2</v>
      </c>
      <c r="C32" s="8" t="s">
        <v>39</v>
      </c>
      <c r="D32" s="7" t="s">
        <v>179</v>
      </c>
      <c r="E32" s="7" t="s">
        <v>23</v>
      </c>
      <c r="F32" s="8" t="s">
        <v>180</v>
      </c>
      <c r="G32" s="8"/>
      <c r="H32" s="8"/>
      <c r="I32" s="8" t="s">
        <v>116</v>
      </c>
      <c r="J32" s="8" t="s">
        <v>35</v>
      </c>
    </row>
    <row r="33" spans="1:10" ht="15" customHeight="1" x14ac:dyDescent="0.35">
      <c r="A33" s="7" t="str">
        <f>IF(C33="","","T"&amp;TEXT(B33,"000")&amp;"I"&amp;TEXT(COUNTIF(B$2:B33,B33),"000"))</f>
        <v>T002I015</v>
      </c>
      <c r="B33" s="7">
        <v>2</v>
      </c>
      <c r="C33" s="8" t="s">
        <v>98</v>
      </c>
      <c r="D33" s="7" t="s">
        <v>30</v>
      </c>
      <c r="E33" s="7" t="s">
        <v>24</v>
      </c>
      <c r="F33" s="8" t="s">
        <v>181</v>
      </c>
      <c r="G33" s="8"/>
      <c r="H33" s="8"/>
      <c r="I33" s="8" t="s">
        <v>37</v>
      </c>
      <c r="J33" s="8" t="s">
        <v>35</v>
      </c>
    </row>
    <row r="34" spans="1:10" ht="15" customHeight="1" x14ac:dyDescent="0.35">
      <c r="A34" s="7" t="str">
        <f>IF(C34="","","T"&amp;TEXT(B34,"000")&amp;"I"&amp;TEXT(COUNTIF(B$2:B34,B34),"000"))</f>
        <v>T002I016</v>
      </c>
      <c r="B34" s="7">
        <v>2</v>
      </c>
      <c r="C34" s="8" t="s">
        <v>45</v>
      </c>
      <c r="D34" s="7" t="s">
        <v>30</v>
      </c>
      <c r="E34" s="7" t="s">
        <v>23</v>
      </c>
      <c r="F34" s="8" t="s">
        <v>182</v>
      </c>
      <c r="G34" s="8"/>
      <c r="H34" s="8" t="s">
        <v>183</v>
      </c>
      <c r="I34" s="8" t="s">
        <v>28</v>
      </c>
      <c r="J34" s="8" t="s">
        <v>35</v>
      </c>
    </row>
    <row r="35" spans="1:10" ht="15" customHeight="1" x14ac:dyDescent="0.35">
      <c r="A35" s="7" t="str">
        <f>IF(C35="","","T"&amp;TEXT(B35,"000")&amp;"I"&amp;TEXT(COUNTIF(B$2:B35,B35),"000"))</f>
        <v>T003I001</v>
      </c>
      <c r="B35" s="7">
        <v>3</v>
      </c>
      <c r="C35" s="8" t="s">
        <v>45</v>
      </c>
      <c r="D35" s="7" t="s">
        <v>30</v>
      </c>
      <c r="E35" s="7" t="s">
        <v>23</v>
      </c>
      <c r="F35" s="8" t="s">
        <v>184</v>
      </c>
      <c r="G35" s="8"/>
      <c r="H35" s="8"/>
      <c r="I35" s="8" t="s">
        <v>25</v>
      </c>
      <c r="J35" s="8" t="s">
        <v>36</v>
      </c>
    </row>
    <row r="36" spans="1:10" ht="15" customHeight="1" x14ac:dyDescent="0.35">
      <c r="A36" s="7" t="str">
        <f>IF(C36="","","T"&amp;TEXT(B36,"000")&amp;"I"&amp;TEXT(COUNTIF(B$2:B36,B36),"000"))</f>
        <v>T003I002</v>
      </c>
      <c r="B36" s="7">
        <v>3</v>
      </c>
      <c r="C36" s="8" t="s">
        <v>44</v>
      </c>
      <c r="D36" s="7" t="s">
        <v>27</v>
      </c>
      <c r="E36" s="7" t="s">
        <v>24</v>
      </c>
      <c r="F36" s="8" t="s">
        <v>185</v>
      </c>
      <c r="G36" s="8"/>
      <c r="H36" s="8"/>
      <c r="I36" s="8" t="s">
        <v>40</v>
      </c>
      <c r="J36" s="8" t="s">
        <v>36</v>
      </c>
    </row>
    <row r="37" spans="1:10" ht="15" customHeight="1" x14ac:dyDescent="0.35">
      <c r="A37" s="7" t="str">
        <f>IF(C37="","","T"&amp;TEXT(B37,"000")&amp;"I"&amp;TEXT(COUNTIF(B$2:B37,B37),"000"))</f>
        <v>T003I003</v>
      </c>
      <c r="B37" s="7">
        <v>3</v>
      </c>
      <c r="C37" s="8" t="s">
        <v>22</v>
      </c>
      <c r="D37" s="7" t="s">
        <v>30</v>
      </c>
      <c r="E37" s="7" t="s">
        <v>24</v>
      </c>
      <c r="F37" s="8" t="s">
        <v>186</v>
      </c>
      <c r="G37" s="8"/>
      <c r="H37" s="8"/>
      <c r="I37" s="8" t="s">
        <v>116</v>
      </c>
      <c r="J37" s="8" t="s">
        <v>36</v>
      </c>
    </row>
    <row r="38" spans="1:10" ht="15" customHeight="1" x14ac:dyDescent="0.35">
      <c r="A38" s="7" t="str">
        <f>IF(C38="","","T"&amp;TEXT(B38,"000")&amp;"I"&amp;TEXT(COUNTIF(B$2:B38,B38),"000"))</f>
        <v>T003I004</v>
      </c>
      <c r="B38" s="7">
        <v>3</v>
      </c>
      <c r="C38" s="8" t="s">
        <v>131</v>
      </c>
      <c r="D38" s="7" t="s">
        <v>23</v>
      </c>
      <c r="E38" s="7" t="s">
        <v>24</v>
      </c>
      <c r="F38" s="8" t="s">
        <v>187</v>
      </c>
      <c r="G38" s="8"/>
      <c r="H38" s="8"/>
      <c r="I38" s="8" t="s">
        <v>28</v>
      </c>
      <c r="J38" s="8" t="s">
        <v>36</v>
      </c>
    </row>
    <row r="39" spans="1:10" ht="15" customHeight="1" x14ac:dyDescent="0.35">
      <c r="A39" s="7" t="str">
        <f>IF(C39="","","T"&amp;TEXT(B39,"000")&amp;"I"&amp;TEXT(COUNTIF(B$2:B39,B39),"000"))</f>
        <v>T003I005</v>
      </c>
      <c r="B39" s="7">
        <v>3</v>
      </c>
      <c r="C39" s="8" t="s">
        <v>151</v>
      </c>
      <c r="D39" s="7" t="s">
        <v>27</v>
      </c>
      <c r="E39" s="7" t="s">
        <v>24</v>
      </c>
      <c r="F39" s="8" t="s">
        <v>188</v>
      </c>
      <c r="G39" s="8"/>
      <c r="H39" s="8"/>
      <c r="I39" s="8" t="s">
        <v>28</v>
      </c>
      <c r="J39" s="8" t="s">
        <v>26</v>
      </c>
    </row>
    <row r="40" spans="1:10" ht="15" customHeight="1" x14ac:dyDescent="0.35">
      <c r="A40" s="7" t="str">
        <f>IF(C40="","","T"&amp;TEXT(B40,"000")&amp;"I"&amp;TEXT(COUNTIF(B$2:B40,B40),"000"))</f>
        <v>T003I006</v>
      </c>
      <c r="B40" s="7">
        <v>3</v>
      </c>
      <c r="C40" s="8" t="s">
        <v>33</v>
      </c>
      <c r="D40" s="7" t="s">
        <v>30</v>
      </c>
      <c r="E40" s="7" t="s">
        <v>24</v>
      </c>
      <c r="F40" s="8" t="s">
        <v>189</v>
      </c>
      <c r="G40" s="8"/>
      <c r="H40" s="8"/>
      <c r="I40" s="8" t="s">
        <v>40</v>
      </c>
      <c r="J40" s="8" t="s">
        <v>26</v>
      </c>
    </row>
    <row r="41" spans="1:10" ht="15" customHeight="1" x14ac:dyDescent="0.35">
      <c r="A41" s="7" t="str">
        <f>IF(C41="","","T"&amp;TEXT(B41,"000")&amp;"I"&amp;TEXT(COUNTIF(B$2:B41,B41),"000"))</f>
        <v>T003I007</v>
      </c>
      <c r="B41" s="7">
        <v>3</v>
      </c>
      <c r="C41" s="8" t="s">
        <v>101</v>
      </c>
      <c r="D41" s="7" t="s">
        <v>23</v>
      </c>
      <c r="E41" s="7" t="s">
        <v>24</v>
      </c>
      <c r="F41" s="8" t="s">
        <v>190</v>
      </c>
      <c r="G41" s="8"/>
      <c r="H41" s="8"/>
      <c r="I41" s="8" t="s">
        <v>28</v>
      </c>
      <c r="J41" s="8" t="s">
        <v>26</v>
      </c>
    </row>
    <row r="42" spans="1:10" ht="15" customHeight="1" x14ac:dyDescent="0.35">
      <c r="A42" s="7" t="str">
        <f>IF(C42="","","T"&amp;TEXT(B42,"000")&amp;"I"&amp;TEXT(COUNTIF(B$2:B42,B42),"000"))</f>
        <v>T003I008</v>
      </c>
      <c r="B42" s="7">
        <v>3</v>
      </c>
      <c r="C42" s="8" t="s">
        <v>98</v>
      </c>
      <c r="D42" s="7" t="s">
        <v>27</v>
      </c>
      <c r="E42" s="7" t="s">
        <v>24</v>
      </c>
      <c r="F42" s="8" t="s">
        <v>191</v>
      </c>
      <c r="G42" s="8"/>
      <c r="H42" s="8"/>
      <c r="I42" s="8" t="s">
        <v>28</v>
      </c>
      <c r="J42" s="8" t="s">
        <v>35</v>
      </c>
    </row>
    <row r="43" spans="1:10" ht="15" customHeight="1" x14ac:dyDescent="0.35">
      <c r="A43" s="7" t="str">
        <f>IF(C43="","","T"&amp;TEXT(B43,"000")&amp;"I"&amp;TEXT(COUNTIF(B$2:B43,B43),"000"))</f>
        <v>T003I009</v>
      </c>
      <c r="B43" s="7">
        <v>3</v>
      </c>
      <c r="C43" s="8" t="s">
        <v>45</v>
      </c>
      <c r="D43" s="7" t="s">
        <v>23</v>
      </c>
      <c r="E43" s="7" t="s">
        <v>24</v>
      </c>
      <c r="F43" s="8" t="s">
        <v>192</v>
      </c>
      <c r="G43" s="8"/>
      <c r="H43" s="8" t="s">
        <v>193</v>
      </c>
      <c r="I43" s="8" t="s">
        <v>25</v>
      </c>
      <c r="J43" s="8" t="s">
        <v>35</v>
      </c>
    </row>
    <row r="44" spans="1:10" ht="15" customHeight="1" x14ac:dyDescent="0.35">
      <c r="A44" s="7" t="str">
        <f>IF(C44="","","T"&amp;TEXT(B44,"000")&amp;"I"&amp;TEXT(COUNTIF(B$2:B44,B44),"000"))</f>
        <v>T003I010</v>
      </c>
      <c r="B44" s="7">
        <v>3</v>
      </c>
      <c r="C44" s="8" t="s">
        <v>98</v>
      </c>
      <c r="D44" s="7" t="s">
        <v>27</v>
      </c>
      <c r="E44" s="7" t="s">
        <v>23</v>
      </c>
      <c r="F44" s="8" t="s">
        <v>194</v>
      </c>
      <c r="G44" s="8"/>
      <c r="H44" s="8" t="s">
        <v>161</v>
      </c>
      <c r="I44" s="8" t="s">
        <v>28</v>
      </c>
      <c r="J44" s="8" t="s">
        <v>35</v>
      </c>
    </row>
    <row r="45" spans="1:10" ht="15" customHeight="1" x14ac:dyDescent="0.35">
      <c r="A45" s="7" t="str">
        <f>IF(C45="","","T"&amp;TEXT(B45,"000")&amp;"I"&amp;TEXT(COUNTIF(B$2:B45,B45),"000"))</f>
        <v>T004I001</v>
      </c>
      <c r="B45" s="7">
        <v>4</v>
      </c>
      <c r="C45" s="8" t="s">
        <v>98</v>
      </c>
      <c r="D45" s="7" t="s">
        <v>32</v>
      </c>
      <c r="E45" s="7" t="s">
        <v>23</v>
      </c>
      <c r="F45" s="8" t="s">
        <v>195</v>
      </c>
      <c r="G45" s="8"/>
      <c r="H45" s="8"/>
      <c r="I45" s="8" t="s">
        <v>40</v>
      </c>
      <c r="J45" s="8" t="s">
        <v>36</v>
      </c>
    </row>
    <row r="46" spans="1:10" ht="15" customHeight="1" x14ac:dyDescent="0.35">
      <c r="A46" s="7" t="str">
        <f>IF(C46="","","T"&amp;TEXT(B46,"000")&amp;"I"&amp;TEXT(COUNTIF(B$2:B46,B46),"000"))</f>
        <v>T004I002</v>
      </c>
      <c r="B46" s="7">
        <v>4</v>
      </c>
      <c r="C46" s="8" t="s">
        <v>38</v>
      </c>
      <c r="D46" s="7" t="s">
        <v>32</v>
      </c>
      <c r="E46" s="7" t="s">
        <v>23</v>
      </c>
      <c r="F46" s="8" t="s">
        <v>196</v>
      </c>
      <c r="G46" s="8"/>
      <c r="H46" s="8"/>
      <c r="I46" s="8" t="s">
        <v>25</v>
      </c>
      <c r="J46" s="8" t="s">
        <v>36</v>
      </c>
    </row>
    <row r="47" spans="1:10" ht="15" customHeight="1" x14ac:dyDescent="0.35">
      <c r="A47" s="7" t="str">
        <f>IF(C47="","","T"&amp;TEXT(B47,"000")&amp;"I"&amp;TEXT(COUNTIF(B$2:B47,B47),"000"))</f>
        <v>T004I003</v>
      </c>
      <c r="B47" s="7">
        <v>4</v>
      </c>
      <c r="C47" s="8" t="s">
        <v>151</v>
      </c>
      <c r="D47" s="7" t="s">
        <v>30</v>
      </c>
      <c r="E47" s="7" t="s">
        <v>24</v>
      </c>
      <c r="F47" s="8" t="s">
        <v>197</v>
      </c>
      <c r="G47" s="8"/>
      <c r="H47" s="8"/>
      <c r="I47" s="8" t="s">
        <v>40</v>
      </c>
      <c r="J47" s="8" t="s">
        <v>36</v>
      </c>
    </row>
    <row r="48" spans="1:10" ht="15" customHeight="1" x14ac:dyDescent="0.35">
      <c r="A48" s="7" t="str">
        <f>IF(C48="","","T"&amp;TEXT(B48,"000")&amp;"I"&amp;TEXT(COUNTIF(B$2:B48,B48),"000"))</f>
        <v>T004I004</v>
      </c>
      <c r="B48" s="7">
        <v>4</v>
      </c>
      <c r="C48" s="8" t="s">
        <v>113</v>
      </c>
      <c r="D48" s="7" t="s">
        <v>27</v>
      </c>
      <c r="E48" s="7" t="s">
        <v>23</v>
      </c>
      <c r="F48" s="8" t="s">
        <v>198</v>
      </c>
      <c r="G48" s="8"/>
      <c r="H48" s="8"/>
      <c r="I48" s="8" t="s">
        <v>40</v>
      </c>
      <c r="J48" s="8" t="s">
        <v>36</v>
      </c>
    </row>
    <row r="49" spans="1:10" ht="15" customHeight="1" x14ac:dyDescent="0.35">
      <c r="A49" s="7" t="str">
        <f>IF(C49="","","T"&amp;TEXT(B49,"000")&amp;"I"&amp;TEXT(COUNTIF(B$2:B49,B49),"000"))</f>
        <v>T004I005</v>
      </c>
      <c r="B49" s="7">
        <v>4</v>
      </c>
      <c r="C49" s="8" t="s">
        <v>113</v>
      </c>
      <c r="D49" s="7" t="s">
        <v>138</v>
      </c>
      <c r="E49" s="7" t="s">
        <v>24</v>
      </c>
      <c r="F49" s="8" t="s">
        <v>199</v>
      </c>
      <c r="G49" s="8"/>
      <c r="H49" s="8"/>
      <c r="I49" s="8" t="s">
        <v>116</v>
      </c>
      <c r="J49" s="8" t="s">
        <v>26</v>
      </c>
    </row>
    <row r="50" spans="1:10" ht="15" customHeight="1" x14ac:dyDescent="0.35">
      <c r="A50" s="7" t="str">
        <f>IF(C50="","","T"&amp;TEXT(B50,"000")&amp;"I"&amp;TEXT(COUNTIF(B$2:B50,B50),"000"))</f>
        <v>T004I006</v>
      </c>
      <c r="B50" s="7">
        <v>4</v>
      </c>
      <c r="C50" s="8" t="s">
        <v>38</v>
      </c>
      <c r="D50" s="7" t="s">
        <v>42</v>
      </c>
      <c r="E50" s="7" t="s">
        <v>24</v>
      </c>
      <c r="F50" s="8" t="s">
        <v>200</v>
      </c>
      <c r="G50" s="8"/>
      <c r="H50" s="8" t="s">
        <v>161</v>
      </c>
      <c r="I50" s="8" t="s">
        <v>40</v>
      </c>
      <c r="J50" s="8" t="s">
        <v>35</v>
      </c>
    </row>
    <row r="51" spans="1:10" ht="15" customHeight="1" x14ac:dyDescent="0.35">
      <c r="A51" s="7" t="str">
        <f>IF(C51="","","T"&amp;TEXT(B51,"000")&amp;"I"&amp;TEXT(COUNTIF(B$2:B51,B51),"000"))</f>
        <v>T005I001</v>
      </c>
      <c r="B51" s="7">
        <v>5</v>
      </c>
      <c r="C51" s="8" t="s">
        <v>151</v>
      </c>
      <c r="D51" s="7" t="s">
        <v>23</v>
      </c>
      <c r="E51" s="7" t="s">
        <v>24</v>
      </c>
      <c r="F51" s="8" t="s">
        <v>201</v>
      </c>
      <c r="G51" s="8"/>
      <c r="H51" s="8"/>
      <c r="I51" s="8" t="s">
        <v>111</v>
      </c>
      <c r="J51" s="8" t="s">
        <v>36</v>
      </c>
    </row>
    <row r="52" spans="1:10" ht="15" customHeight="1" x14ac:dyDescent="0.35">
      <c r="A52" s="7" t="str">
        <f>IF(C52="","","T"&amp;TEXT(B52,"000")&amp;"I"&amp;TEXT(COUNTIF(B$2:B52,B52),"000"))</f>
        <v>T005I002</v>
      </c>
      <c r="B52" s="7">
        <v>5</v>
      </c>
      <c r="C52" s="8" t="s">
        <v>144</v>
      </c>
      <c r="D52" s="7" t="s">
        <v>99</v>
      </c>
      <c r="E52" s="7" t="s">
        <v>24</v>
      </c>
      <c r="F52" s="8" t="s">
        <v>202</v>
      </c>
      <c r="G52" s="8"/>
      <c r="H52" s="8"/>
      <c r="I52" s="8" t="s">
        <v>87</v>
      </c>
      <c r="J52" s="8" t="s">
        <v>36</v>
      </c>
    </row>
    <row r="53" spans="1:10" ht="15" customHeight="1" x14ac:dyDescent="0.35">
      <c r="A53" s="7" t="str">
        <f>IF(C53="","","T"&amp;TEXT(B53,"000")&amp;"I"&amp;TEXT(COUNTIF(B$2:B53,B53),"000"))</f>
        <v>T005I003</v>
      </c>
      <c r="B53" s="7">
        <v>5</v>
      </c>
      <c r="C53" s="8" t="s">
        <v>33</v>
      </c>
      <c r="D53" s="7" t="s">
        <v>30</v>
      </c>
      <c r="E53" s="7" t="s">
        <v>24</v>
      </c>
      <c r="F53" s="8" t="s">
        <v>203</v>
      </c>
      <c r="G53" s="8"/>
      <c r="H53" s="8"/>
      <c r="I53" s="8" t="s">
        <v>25</v>
      </c>
      <c r="J53" s="8" t="s">
        <v>36</v>
      </c>
    </row>
    <row r="54" spans="1:10" ht="15" customHeight="1" x14ac:dyDescent="0.35">
      <c r="A54" s="7" t="str">
        <f>IF(C54="","","T"&amp;TEXT(B54,"000")&amp;"I"&amp;TEXT(COUNTIF(B$2:B54,B54),"000"))</f>
        <v>T005I004</v>
      </c>
      <c r="B54" s="7">
        <v>5</v>
      </c>
      <c r="C54" s="8" t="s">
        <v>113</v>
      </c>
      <c r="D54" s="7" t="s">
        <v>30</v>
      </c>
      <c r="E54" s="7" t="s">
        <v>24</v>
      </c>
      <c r="F54" s="8" t="s">
        <v>204</v>
      </c>
      <c r="G54" s="8"/>
      <c r="H54" s="8"/>
      <c r="I54" s="8" t="s">
        <v>28</v>
      </c>
      <c r="J54" s="8" t="s">
        <v>26</v>
      </c>
    </row>
    <row r="55" spans="1:10" ht="15" customHeight="1" x14ac:dyDescent="0.35">
      <c r="A55" s="7" t="str">
        <f>IF(C55="","","T"&amp;TEXT(B55,"000")&amp;"I"&amp;TEXT(COUNTIF(B$2:B55,B55),"000"))</f>
        <v>T005I005</v>
      </c>
      <c r="B55" s="7">
        <v>5</v>
      </c>
      <c r="C55" s="8" t="s">
        <v>31</v>
      </c>
      <c r="D55" s="7" t="s">
        <v>30</v>
      </c>
      <c r="E55" s="7" t="s">
        <v>24</v>
      </c>
      <c r="F55" s="8" t="s">
        <v>205</v>
      </c>
      <c r="G55" s="8"/>
      <c r="H55" s="8" t="s">
        <v>193</v>
      </c>
      <c r="I55" s="8" t="s">
        <v>28</v>
      </c>
      <c r="J55" s="8" t="s">
        <v>35</v>
      </c>
    </row>
    <row r="56" spans="1:10" ht="15" customHeight="1" x14ac:dyDescent="0.35">
      <c r="A56" s="7" t="str">
        <f>IF(C56="","","T"&amp;TEXT(B56,"000")&amp;"I"&amp;TEXT(COUNTIF(B$2:B56,B56),"000"))</f>
        <v>T005I006</v>
      </c>
      <c r="B56" s="7">
        <v>5</v>
      </c>
      <c r="C56" s="8" t="s">
        <v>45</v>
      </c>
      <c r="D56" s="7" t="s">
        <v>27</v>
      </c>
      <c r="E56" s="7" t="s">
        <v>23</v>
      </c>
      <c r="F56" s="8" t="s">
        <v>206</v>
      </c>
      <c r="G56" s="8"/>
      <c r="H56" s="8" t="s">
        <v>159</v>
      </c>
      <c r="I56" s="8" t="s">
        <v>28</v>
      </c>
      <c r="J56" s="8" t="s">
        <v>35</v>
      </c>
    </row>
    <row r="57" spans="1:10" ht="15" customHeight="1" x14ac:dyDescent="0.35">
      <c r="A57" s="7" t="str">
        <f>IF(C57="","","T"&amp;TEXT(B57,"000")&amp;"I"&amp;TEXT(COUNTIF(B$2:B57,B57),"000"))</f>
        <v>T005I007</v>
      </c>
      <c r="B57" s="7">
        <v>5</v>
      </c>
      <c r="C57" s="8" t="s">
        <v>31</v>
      </c>
      <c r="D57" s="7" t="s">
        <v>30</v>
      </c>
      <c r="E57" s="7" t="s">
        <v>24</v>
      </c>
      <c r="F57" s="8" t="s">
        <v>207</v>
      </c>
      <c r="G57" s="8"/>
      <c r="H57" s="8" t="s">
        <v>193</v>
      </c>
      <c r="I57" s="8" t="s">
        <v>40</v>
      </c>
      <c r="J57" s="8" t="s">
        <v>35</v>
      </c>
    </row>
    <row r="58" spans="1:10" ht="15" customHeight="1" x14ac:dyDescent="0.35">
      <c r="A58" s="7" t="str">
        <f>IF(C58="","","T"&amp;TEXT(B58,"000")&amp;"I"&amp;TEXT(COUNTIF(B$2:B58,B58),"000"))</f>
        <v>T006I001</v>
      </c>
      <c r="B58" s="7">
        <v>6</v>
      </c>
      <c r="C58" s="8" t="s">
        <v>129</v>
      </c>
      <c r="D58" s="7" t="s">
        <v>23</v>
      </c>
      <c r="E58" s="7" t="s">
        <v>24</v>
      </c>
      <c r="F58" s="8" t="s">
        <v>208</v>
      </c>
      <c r="G58" s="8"/>
      <c r="H58" s="8"/>
      <c r="I58" s="8" t="s">
        <v>40</v>
      </c>
      <c r="J58" s="8" t="s">
        <v>36</v>
      </c>
    </row>
    <row r="59" spans="1:10" ht="15" customHeight="1" x14ac:dyDescent="0.35">
      <c r="A59" s="7" t="str">
        <f>IF(C59="","","T"&amp;TEXT(B59,"000")&amp;"I"&amp;TEXT(COUNTIF(B$2:B59,B59),"000"))</f>
        <v>T006I002</v>
      </c>
      <c r="B59" s="7">
        <v>6</v>
      </c>
      <c r="C59" s="8" t="s">
        <v>31</v>
      </c>
      <c r="D59" s="7" t="s">
        <v>23</v>
      </c>
      <c r="E59" s="7" t="s">
        <v>24</v>
      </c>
      <c r="F59" s="8" t="s">
        <v>209</v>
      </c>
      <c r="G59" s="8"/>
      <c r="H59" s="8"/>
      <c r="I59" s="8" t="s">
        <v>111</v>
      </c>
      <c r="J59" s="8" t="s">
        <v>36</v>
      </c>
    </row>
    <row r="60" spans="1:10" ht="15" customHeight="1" x14ac:dyDescent="0.35">
      <c r="A60" s="7" t="str">
        <f>IF(C60="","","T"&amp;TEXT(B60,"000")&amp;"I"&amp;TEXT(COUNTIF(B$2:B60,B60),"000"))</f>
        <v>T006I003</v>
      </c>
      <c r="B60" s="7">
        <v>6</v>
      </c>
      <c r="C60" s="8" t="s">
        <v>39</v>
      </c>
      <c r="D60" s="7" t="s">
        <v>30</v>
      </c>
      <c r="E60" s="7" t="s">
        <v>24</v>
      </c>
      <c r="F60" s="8" t="s">
        <v>210</v>
      </c>
      <c r="G60" s="8"/>
      <c r="H60" s="8"/>
      <c r="I60" s="8" t="s">
        <v>25</v>
      </c>
      <c r="J60" s="8" t="s">
        <v>36</v>
      </c>
    </row>
    <row r="61" spans="1:10" ht="15" customHeight="1" x14ac:dyDescent="0.35">
      <c r="A61" s="7" t="str">
        <f>IF(C61="","","T"&amp;TEXT(B61,"000")&amp;"I"&amp;TEXT(COUNTIF(B$2:B61,B61),"000"))</f>
        <v>T006I004</v>
      </c>
      <c r="B61" s="7">
        <v>6</v>
      </c>
      <c r="C61" s="8" t="s">
        <v>211</v>
      </c>
      <c r="D61" s="7" t="s">
        <v>27</v>
      </c>
      <c r="E61" s="7" t="s">
        <v>24</v>
      </c>
      <c r="F61" s="8" t="s">
        <v>212</v>
      </c>
      <c r="G61" s="8"/>
      <c r="H61" s="8"/>
      <c r="I61" s="8" t="s">
        <v>28</v>
      </c>
      <c r="J61" s="8" t="s">
        <v>36</v>
      </c>
    </row>
    <row r="62" spans="1:10" ht="15" customHeight="1" x14ac:dyDescent="0.35">
      <c r="A62" s="7" t="str">
        <f>IF(C62="","","T"&amp;TEXT(B62,"000")&amp;"I"&amp;TEXT(COUNTIF(B$2:B62,B62),"000"))</f>
        <v>T006I005</v>
      </c>
      <c r="B62" s="7">
        <v>6</v>
      </c>
      <c r="C62" s="8" t="s">
        <v>45</v>
      </c>
      <c r="D62" s="7" t="s">
        <v>42</v>
      </c>
      <c r="E62" s="7" t="s">
        <v>24</v>
      </c>
      <c r="F62" s="8" t="s">
        <v>213</v>
      </c>
      <c r="G62" s="8"/>
      <c r="H62" s="8"/>
      <c r="I62" s="8" t="s">
        <v>28</v>
      </c>
      <c r="J62" s="8" t="s">
        <v>36</v>
      </c>
    </row>
    <row r="63" spans="1:10" ht="15" customHeight="1" x14ac:dyDescent="0.35">
      <c r="A63" s="7" t="str">
        <f>IF(C63="","","T"&amp;TEXT(B63,"000")&amp;"I"&amp;TEXT(COUNTIF(B$2:B63,B63),"000"))</f>
        <v>T006I006</v>
      </c>
      <c r="B63" s="7">
        <v>6</v>
      </c>
      <c r="C63" s="8" t="s">
        <v>167</v>
      </c>
      <c r="D63" s="7" t="s">
        <v>32</v>
      </c>
      <c r="E63" s="7" t="s">
        <v>24</v>
      </c>
      <c r="F63" s="8" t="s">
        <v>214</v>
      </c>
      <c r="G63" s="8"/>
      <c r="H63" s="8"/>
      <c r="I63" s="8" t="s">
        <v>25</v>
      </c>
      <c r="J63" s="8" t="s">
        <v>36</v>
      </c>
    </row>
    <row r="64" spans="1:10" ht="15" customHeight="1" x14ac:dyDescent="0.35">
      <c r="A64" s="7" t="str">
        <f>IF(C64="","","T"&amp;TEXT(B64,"000")&amp;"I"&amp;TEXT(COUNTIF(B$2:B64,B64),"000"))</f>
        <v>T006I007</v>
      </c>
      <c r="B64" s="7">
        <v>6</v>
      </c>
      <c r="C64" s="8" t="s">
        <v>90</v>
      </c>
      <c r="D64" s="7" t="s">
        <v>23</v>
      </c>
      <c r="E64" s="7" t="s">
        <v>24</v>
      </c>
      <c r="F64" s="8" t="s">
        <v>215</v>
      </c>
      <c r="G64" s="8"/>
      <c r="H64" s="8"/>
      <c r="I64" s="8" t="s">
        <v>111</v>
      </c>
      <c r="J64" s="8" t="s">
        <v>36</v>
      </c>
    </row>
    <row r="65" spans="1:10" ht="15" customHeight="1" x14ac:dyDescent="0.35">
      <c r="A65" s="7" t="str">
        <f>IF(C65="","","T"&amp;TEXT(B65,"000")&amp;"I"&amp;TEXT(COUNTIF(B$2:B65,B65),"000"))</f>
        <v>T006I008</v>
      </c>
      <c r="B65" s="7">
        <v>6</v>
      </c>
      <c r="C65" s="8" t="s">
        <v>131</v>
      </c>
      <c r="D65" s="7" t="s">
        <v>30</v>
      </c>
      <c r="E65" s="7" t="s">
        <v>24</v>
      </c>
      <c r="F65" s="8" t="s">
        <v>216</v>
      </c>
      <c r="G65" s="8"/>
      <c r="H65" s="8"/>
      <c r="I65" s="8" t="s">
        <v>37</v>
      </c>
      <c r="J65" s="8" t="s">
        <v>36</v>
      </c>
    </row>
    <row r="66" spans="1:10" ht="15" customHeight="1" x14ac:dyDescent="0.35">
      <c r="A66" s="7" t="str">
        <f>IF(C66="","","T"&amp;TEXT(B66,"000")&amp;"I"&amp;TEXT(COUNTIF(B$2:B66,B66),"000"))</f>
        <v>T006I009</v>
      </c>
      <c r="B66" s="7">
        <v>6</v>
      </c>
      <c r="C66" s="8" t="s">
        <v>45</v>
      </c>
      <c r="D66" s="7" t="s">
        <v>27</v>
      </c>
      <c r="E66" s="7" t="s">
        <v>23</v>
      </c>
      <c r="F66" s="8" t="s">
        <v>217</v>
      </c>
      <c r="G66" s="8"/>
      <c r="H66" s="8"/>
      <c r="I66" s="8" t="s">
        <v>25</v>
      </c>
      <c r="J66" s="8" t="s">
        <v>36</v>
      </c>
    </row>
    <row r="67" spans="1:10" ht="15" customHeight="1" x14ac:dyDescent="0.35">
      <c r="A67" s="7" t="str">
        <f>IF(C67="","","T"&amp;TEXT(B67,"000")&amp;"I"&amp;TEXT(COUNTIF(B$2:B67,B67),"000"))</f>
        <v>T006I010</v>
      </c>
      <c r="B67" s="7">
        <v>6</v>
      </c>
      <c r="C67" s="8" t="s">
        <v>47</v>
      </c>
      <c r="D67" s="7" t="s">
        <v>89</v>
      </c>
      <c r="E67" s="7" t="s">
        <v>24</v>
      </c>
      <c r="F67" s="8" t="s">
        <v>218</v>
      </c>
      <c r="G67" s="8"/>
      <c r="H67" s="8"/>
      <c r="I67" s="8" t="s">
        <v>87</v>
      </c>
      <c r="J67" s="8" t="s">
        <v>36</v>
      </c>
    </row>
    <row r="68" spans="1:10" ht="15" customHeight="1" x14ac:dyDescent="0.35">
      <c r="A68" s="7" t="str">
        <f>IF(C68="","","T"&amp;TEXT(B68,"000")&amp;"I"&amp;TEXT(COUNTIF(B$2:B68,B68),"000"))</f>
        <v>T006I011</v>
      </c>
      <c r="B68" s="7">
        <v>6</v>
      </c>
      <c r="C68" s="8" t="s">
        <v>121</v>
      </c>
      <c r="D68" s="7" t="s">
        <v>23</v>
      </c>
      <c r="E68" s="7" t="s">
        <v>24</v>
      </c>
      <c r="F68" s="8" t="s">
        <v>219</v>
      </c>
      <c r="G68" s="8"/>
      <c r="H68" s="8"/>
      <c r="I68" s="8" t="s">
        <v>25</v>
      </c>
      <c r="J68" s="8" t="s">
        <v>36</v>
      </c>
    </row>
    <row r="69" spans="1:10" ht="15" customHeight="1" x14ac:dyDescent="0.35">
      <c r="A69" s="7" t="str">
        <f>IF(C69="","","T"&amp;TEXT(B69,"000")&amp;"I"&amp;TEXT(COUNTIF(B$2:B69,B69),"000"))</f>
        <v>T006I012</v>
      </c>
      <c r="B69" s="7">
        <v>6</v>
      </c>
      <c r="C69" s="8" t="s">
        <v>220</v>
      </c>
      <c r="D69" s="7" t="s">
        <v>30</v>
      </c>
      <c r="E69" s="7" t="s">
        <v>23</v>
      </c>
      <c r="F69" s="8" t="s">
        <v>221</v>
      </c>
      <c r="G69" s="8"/>
      <c r="H69" s="8"/>
      <c r="I69" s="8" t="s">
        <v>141</v>
      </c>
      <c r="J69" s="8" t="s">
        <v>26</v>
      </c>
    </row>
    <row r="70" spans="1:10" ht="15" customHeight="1" x14ac:dyDescent="0.35">
      <c r="A70" s="7" t="str">
        <f>IF(C70="","","T"&amp;TEXT(B70,"000")&amp;"I"&amp;TEXT(COUNTIF(B$2:B70,B70),"000"))</f>
        <v>T006I013</v>
      </c>
      <c r="B70" s="7">
        <v>6</v>
      </c>
      <c r="C70" s="8" t="s">
        <v>113</v>
      </c>
      <c r="D70" s="7" t="s">
        <v>23</v>
      </c>
      <c r="E70" s="7" t="s">
        <v>24</v>
      </c>
      <c r="F70" s="8" t="s">
        <v>222</v>
      </c>
      <c r="G70" s="8"/>
      <c r="H70" s="8"/>
      <c r="I70" s="8" t="s">
        <v>25</v>
      </c>
      <c r="J70" s="8" t="s">
        <v>26</v>
      </c>
    </row>
    <row r="71" spans="1:10" ht="15" customHeight="1" x14ac:dyDescent="0.35">
      <c r="A71" s="7" t="str">
        <f>IF(C71="","","T"&amp;TEXT(B71,"000")&amp;"I"&amp;TEXT(COUNTIF(B$2:B71,B71),"000"))</f>
        <v>T006I014</v>
      </c>
      <c r="B71" s="7">
        <v>6</v>
      </c>
      <c r="C71" s="8" t="s">
        <v>142</v>
      </c>
      <c r="D71" s="7" t="s">
        <v>23</v>
      </c>
      <c r="E71" s="7" t="s">
        <v>24</v>
      </c>
      <c r="F71" s="8" t="s">
        <v>223</v>
      </c>
      <c r="G71" s="8"/>
      <c r="H71" s="8" t="s">
        <v>193</v>
      </c>
      <c r="I71" s="8" t="s">
        <v>141</v>
      </c>
      <c r="J71" s="8" t="s">
        <v>35</v>
      </c>
    </row>
    <row r="72" spans="1:10" ht="15" customHeight="1" x14ac:dyDescent="0.35">
      <c r="A72" s="7" t="str">
        <f>IF(C72="","","T"&amp;TEXT(B72,"000")&amp;"I"&amp;TEXT(COUNTIF(B$2:B72,B72),"000"))</f>
        <v>T006I015</v>
      </c>
      <c r="B72" s="7">
        <v>6</v>
      </c>
      <c r="C72" s="8" t="s">
        <v>29</v>
      </c>
      <c r="D72" s="7" t="s">
        <v>23</v>
      </c>
      <c r="E72" s="7" t="s">
        <v>24</v>
      </c>
      <c r="F72" s="8" t="s">
        <v>224</v>
      </c>
      <c r="G72" s="8"/>
      <c r="H72" s="8" t="s">
        <v>183</v>
      </c>
      <c r="I72" s="8" t="s">
        <v>28</v>
      </c>
      <c r="J72" s="8" t="s">
        <v>35</v>
      </c>
    </row>
    <row r="73" spans="1:10" ht="15" customHeight="1" x14ac:dyDescent="0.35">
      <c r="A73" s="7" t="str">
        <f>IF(C73="","","T"&amp;TEXT(B73,"000")&amp;"I"&amp;TEXT(COUNTIF(B$2:B73,B73),"000"))</f>
        <v>T006I016</v>
      </c>
      <c r="B73" s="7">
        <v>6</v>
      </c>
      <c r="C73" s="8" t="s">
        <v>44</v>
      </c>
      <c r="D73" s="7" t="s">
        <v>30</v>
      </c>
      <c r="E73" s="7" t="s">
        <v>24</v>
      </c>
      <c r="F73" s="8" t="s">
        <v>225</v>
      </c>
      <c r="G73" s="8"/>
      <c r="H73" s="8" t="s">
        <v>161</v>
      </c>
      <c r="I73" s="8" t="s">
        <v>28</v>
      </c>
      <c r="J73" s="8" t="s">
        <v>35</v>
      </c>
    </row>
    <row r="74" spans="1:10" ht="15" customHeight="1" x14ac:dyDescent="0.35">
      <c r="A74" s="7" t="str">
        <f>IF(C74="","","T"&amp;TEXT(B74,"000")&amp;"I"&amp;TEXT(COUNTIF(B$2:B74,B74),"000"))</f>
        <v>T007I001</v>
      </c>
      <c r="B74" s="7">
        <v>7</v>
      </c>
      <c r="C74" s="8" t="s">
        <v>167</v>
      </c>
      <c r="D74" s="7" t="s">
        <v>27</v>
      </c>
      <c r="E74" s="7" t="s">
        <v>24</v>
      </c>
      <c r="F74" s="8" t="s">
        <v>226</v>
      </c>
      <c r="G74" s="8"/>
      <c r="H74" s="8"/>
      <c r="I74" s="8" t="s">
        <v>25</v>
      </c>
      <c r="J74" s="8" t="s">
        <v>36</v>
      </c>
    </row>
    <row r="75" spans="1:10" ht="15" customHeight="1" x14ac:dyDescent="0.35">
      <c r="A75" s="7" t="str">
        <f>IF(C75="","","T"&amp;TEXT(B75,"000")&amp;"I"&amp;TEXT(COUNTIF(B$2:B75,B75),"000"))</f>
        <v>T007I002</v>
      </c>
      <c r="B75" s="7">
        <v>7</v>
      </c>
      <c r="C75" s="8" t="s">
        <v>98</v>
      </c>
      <c r="D75" s="7" t="s">
        <v>32</v>
      </c>
      <c r="E75" s="7" t="s">
        <v>24</v>
      </c>
      <c r="F75" s="8" t="s">
        <v>227</v>
      </c>
      <c r="G75" s="8"/>
      <c r="H75" s="8"/>
      <c r="I75" s="8" t="s">
        <v>28</v>
      </c>
      <c r="J75" s="8" t="s">
        <v>36</v>
      </c>
    </row>
    <row r="76" spans="1:10" ht="15" customHeight="1" x14ac:dyDescent="0.35">
      <c r="A76" s="7" t="str">
        <f>IF(C76="","","T"&amp;TEXT(B76,"000")&amp;"I"&amp;TEXT(COUNTIF(B$2:B76,B76),"000"))</f>
        <v>T007I003</v>
      </c>
      <c r="B76" s="7">
        <v>7</v>
      </c>
      <c r="C76" s="8" t="s">
        <v>98</v>
      </c>
      <c r="D76" s="7" t="s">
        <v>23</v>
      </c>
      <c r="E76" s="7" t="s">
        <v>24</v>
      </c>
      <c r="F76" s="8" t="s">
        <v>228</v>
      </c>
      <c r="G76" s="8"/>
      <c r="H76" s="8"/>
      <c r="I76" s="8" t="s">
        <v>28</v>
      </c>
      <c r="J76" s="8" t="s">
        <v>36</v>
      </c>
    </row>
    <row r="77" spans="1:10" ht="15" customHeight="1" x14ac:dyDescent="0.35">
      <c r="A77" s="7" t="str">
        <f>IF(C77="","","T"&amp;TEXT(B77,"000")&amp;"I"&amp;TEXT(COUNTIF(B$2:B77,B77),"000"))</f>
        <v>T007I004</v>
      </c>
      <c r="B77" s="7">
        <v>7</v>
      </c>
      <c r="C77" s="8" t="s">
        <v>142</v>
      </c>
      <c r="D77" s="7" t="s">
        <v>30</v>
      </c>
      <c r="E77" s="7" t="s">
        <v>24</v>
      </c>
      <c r="F77" s="8" t="s">
        <v>229</v>
      </c>
      <c r="G77" s="8"/>
      <c r="H77" s="8"/>
      <c r="I77" s="8" t="s">
        <v>25</v>
      </c>
      <c r="J77" s="8" t="s">
        <v>36</v>
      </c>
    </row>
    <row r="78" spans="1:10" ht="15" customHeight="1" x14ac:dyDescent="0.35">
      <c r="A78" s="7" t="str">
        <f>IF(C78="","","T"&amp;TEXT(B78,"000")&amp;"I"&amp;TEXT(COUNTIF(B$2:B78,B78),"000"))</f>
        <v>T007I005</v>
      </c>
      <c r="B78" s="7">
        <v>7</v>
      </c>
      <c r="C78" s="8" t="s">
        <v>31</v>
      </c>
      <c r="D78" s="7" t="s">
        <v>30</v>
      </c>
      <c r="E78" s="7" t="s">
        <v>24</v>
      </c>
      <c r="F78" s="8" t="s">
        <v>230</v>
      </c>
      <c r="G78" s="8"/>
      <c r="H78" s="8"/>
      <c r="I78" s="8" t="s">
        <v>37</v>
      </c>
      <c r="J78" s="8" t="s">
        <v>36</v>
      </c>
    </row>
    <row r="79" spans="1:10" ht="15" customHeight="1" x14ac:dyDescent="0.35">
      <c r="A79" s="7" t="str">
        <f>IF(C79="","","T"&amp;TEXT(B79,"000")&amp;"I"&amp;TEXT(COUNTIF(B$2:B79,B79),"000"))</f>
        <v>T007I006</v>
      </c>
      <c r="B79" s="7">
        <v>7</v>
      </c>
      <c r="C79" s="8" t="s">
        <v>47</v>
      </c>
      <c r="D79" s="7" t="s">
        <v>23</v>
      </c>
      <c r="E79" s="7" t="s">
        <v>23</v>
      </c>
      <c r="F79" s="8" t="s">
        <v>231</v>
      </c>
      <c r="G79" s="8"/>
      <c r="H79" s="8"/>
      <c r="I79" s="8" t="s">
        <v>37</v>
      </c>
      <c r="J79" s="8" t="s">
        <v>36</v>
      </c>
    </row>
    <row r="80" spans="1:10" ht="15" customHeight="1" x14ac:dyDescent="0.35">
      <c r="A80" s="7" t="str">
        <f>IF(C80="","","T"&amp;TEXT(B80,"000")&amp;"I"&amp;TEXT(COUNTIF(B$2:B80,B80),"000"))</f>
        <v>T007I007</v>
      </c>
      <c r="B80" s="7">
        <v>7</v>
      </c>
      <c r="C80" s="8" t="s">
        <v>115</v>
      </c>
      <c r="D80" s="7" t="s">
        <v>27</v>
      </c>
      <c r="E80" s="7" t="s">
        <v>24</v>
      </c>
      <c r="F80" s="8" t="s">
        <v>232</v>
      </c>
      <c r="G80" s="8"/>
      <c r="H80" s="8"/>
      <c r="I80" s="8" t="s">
        <v>25</v>
      </c>
      <c r="J80" s="8" t="s">
        <v>36</v>
      </c>
    </row>
    <row r="81" spans="1:10" ht="15" customHeight="1" x14ac:dyDescent="0.35">
      <c r="A81" s="7" t="str">
        <f>IF(C81="","","T"&amp;TEXT(B81,"000")&amp;"I"&amp;TEXT(COUNTIF(B$2:B81,B81),"000"))</f>
        <v>T007I008</v>
      </c>
      <c r="B81" s="7">
        <v>7</v>
      </c>
      <c r="C81" s="8" t="s">
        <v>101</v>
      </c>
      <c r="D81" s="7" t="s">
        <v>23</v>
      </c>
      <c r="E81" s="7" t="s">
        <v>24</v>
      </c>
      <c r="F81" s="8" t="s">
        <v>233</v>
      </c>
      <c r="G81" s="8"/>
      <c r="H81" s="8"/>
      <c r="I81" s="8" t="s">
        <v>111</v>
      </c>
      <c r="J81" s="8" t="s">
        <v>36</v>
      </c>
    </row>
    <row r="82" spans="1:10" ht="15" customHeight="1" x14ac:dyDescent="0.35">
      <c r="A82" s="7" t="str">
        <f>IF(C82="","","T"&amp;TEXT(B82,"000")&amp;"I"&amp;TEXT(COUNTIF(B$2:B82,B82),"000"))</f>
        <v>T007I009</v>
      </c>
      <c r="B82" s="7">
        <v>7</v>
      </c>
      <c r="C82" s="8" t="s">
        <v>29</v>
      </c>
      <c r="D82" s="7" t="s">
        <v>30</v>
      </c>
      <c r="E82" s="7" t="s">
        <v>23</v>
      </c>
      <c r="F82" s="8" t="s">
        <v>234</v>
      </c>
      <c r="G82" s="8"/>
      <c r="H82" s="8"/>
      <c r="I82" s="8" t="s">
        <v>28</v>
      </c>
      <c r="J82" s="8" t="s">
        <v>36</v>
      </c>
    </row>
    <row r="83" spans="1:10" ht="15" customHeight="1" x14ac:dyDescent="0.35">
      <c r="A83" s="7" t="str">
        <f>IF(C83="","","T"&amp;TEXT(B83,"000")&amp;"I"&amp;TEXT(COUNTIF(B$2:B83,B83),"000"))</f>
        <v>T007I010</v>
      </c>
      <c r="B83" s="7">
        <v>7</v>
      </c>
      <c r="C83" s="8" t="s">
        <v>103</v>
      </c>
      <c r="D83" s="7" t="s">
        <v>32</v>
      </c>
      <c r="E83" s="7" t="s">
        <v>24</v>
      </c>
      <c r="F83" s="8" t="s">
        <v>235</v>
      </c>
      <c r="G83" s="8"/>
      <c r="H83" s="8"/>
      <c r="I83" s="8" t="s">
        <v>28</v>
      </c>
      <c r="J83" s="8" t="s">
        <v>26</v>
      </c>
    </row>
    <row r="84" spans="1:10" ht="15" customHeight="1" x14ac:dyDescent="0.35">
      <c r="A84" s="7" t="str">
        <f>IF(C84="","","T"&amp;TEXT(B84,"000")&amp;"I"&amp;TEXT(COUNTIF(B$2:B84,B84),"000"))</f>
        <v>T007I011</v>
      </c>
      <c r="B84" s="7">
        <v>7</v>
      </c>
      <c r="C84" s="8" t="s">
        <v>38</v>
      </c>
      <c r="D84" s="7" t="s">
        <v>32</v>
      </c>
      <c r="E84" s="7" t="s">
        <v>24</v>
      </c>
      <c r="F84" s="8" t="s">
        <v>236</v>
      </c>
      <c r="G84" s="8"/>
      <c r="H84" s="8"/>
      <c r="I84" s="8" t="s">
        <v>111</v>
      </c>
      <c r="J84" s="8" t="s">
        <v>26</v>
      </c>
    </row>
    <row r="85" spans="1:10" ht="15" customHeight="1" x14ac:dyDescent="0.35">
      <c r="A85" s="7" t="str">
        <f>IF(C85="","","T"&amp;TEXT(B85,"000")&amp;"I"&amp;TEXT(COUNTIF(B$2:B85,B85),"000"))</f>
        <v>T007I012</v>
      </c>
      <c r="B85" s="7">
        <v>7</v>
      </c>
      <c r="C85" s="8" t="s">
        <v>121</v>
      </c>
      <c r="D85" s="7" t="s">
        <v>23</v>
      </c>
      <c r="E85" s="7" t="s">
        <v>24</v>
      </c>
      <c r="F85" s="8" t="s">
        <v>237</v>
      </c>
      <c r="G85" s="8"/>
      <c r="H85" s="8" t="s">
        <v>193</v>
      </c>
      <c r="I85" s="8" t="s">
        <v>25</v>
      </c>
      <c r="J85" s="8" t="s">
        <v>35</v>
      </c>
    </row>
    <row r="86" spans="1:10" ht="15" customHeight="1" x14ac:dyDescent="0.35">
      <c r="A86" s="7" t="str">
        <f>IF(C86="","","T"&amp;TEXT(B86,"000")&amp;"I"&amp;TEXT(COUNTIF(B$2:B86,B86),"000"))</f>
        <v>T007I013</v>
      </c>
      <c r="B86" s="7">
        <v>7</v>
      </c>
      <c r="C86" s="8" t="s">
        <v>101</v>
      </c>
      <c r="D86" s="7" t="s">
        <v>23</v>
      </c>
      <c r="E86" s="7" t="s">
        <v>24</v>
      </c>
      <c r="F86" s="8" t="s">
        <v>238</v>
      </c>
      <c r="G86" s="8"/>
      <c r="H86" s="8" t="s">
        <v>159</v>
      </c>
      <c r="I86" s="8" t="s">
        <v>40</v>
      </c>
      <c r="J86" s="8" t="s">
        <v>35</v>
      </c>
    </row>
    <row r="87" spans="1:10" ht="15" customHeight="1" x14ac:dyDescent="0.35">
      <c r="A87" s="7" t="str">
        <f>IF(C87="","","T"&amp;TEXT(B87,"000")&amp;"I"&amp;TEXT(COUNTIF(B$2:B87,B87),"000"))</f>
        <v>T007I014</v>
      </c>
      <c r="B87" s="7">
        <v>7</v>
      </c>
      <c r="C87" s="8" t="s">
        <v>33</v>
      </c>
      <c r="D87" s="7" t="s">
        <v>23</v>
      </c>
      <c r="E87" s="7" t="s">
        <v>24</v>
      </c>
      <c r="F87" s="8" t="s">
        <v>239</v>
      </c>
      <c r="G87" s="8"/>
      <c r="H87" s="8" t="s">
        <v>161</v>
      </c>
      <c r="I87" s="8" t="s">
        <v>25</v>
      </c>
      <c r="J87" s="8" t="s">
        <v>35</v>
      </c>
    </row>
    <row r="88" spans="1:10" ht="15" customHeight="1" x14ac:dyDescent="0.35">
      <c r="A88" s="7" t="str">
        <f>IF(C88="","","T"&amp;TEXT(B88,"000")&amp;"I"&amp;TEXT(COUNTIF(B$2:B88,B88),"000"))</f>
        <v>T008I001</v>
      </c>
      <c r="B88" s="7">
        <v>8</v>
      </c>
      <c r="C88" s="8" t="s">
        <v>142</v>
      </c>
      <c r="D88" s="7" t="s">
        <v>30</v>
      </c>
      <c r="E88" s="7" t="s">
        <v>24</v>
      </c>
      <c r="F88" s="8" t="s">
        <v>240</v>
      </c>
      <c r="G88" s="8"/>
      <c r="H88" s="8"/>
      <c r="I88" s="8" t="s">
        <v>25</v>
      </c>
      <c r="J88" s="8" t="s">
        <v>36</v>
      </c>
    </row>
    <row r="89" spans="1:10" ht="15" customHeight="1" x14ac:dyDescent="0.35">
      <c r="A89" s="7" t="str">
        <f>IF(C89="","","T"&amp;TEXT(B89,"000")&amp;"I"&amp;TEXT(COUNTIF(B$2:B89,B89),"000"))</f>
        <v>T008I002</v>
      </c>
      <c r="B89" s="7">
        <v>8</v>
      </c>
      <c r="C89" s="8" t="s">
        <v>22</v>
      </c>
      <c r="D89" s="7" t="s">
        <v>27</v>
      </c>
      <c r="E89" s="7" t="s">
        <v>24</v>
      </c>
      <c r="F89" s="8" t="s">
        <v>241</v>
      </c>
      <c r="G89" s="8"/>
      <c r="H89" s="8"/>
      <c r="I89" s="8" t="s">
        <v>25</v>
      </c>
      <c r="J89" s="8" t="s">
        <v>36</v>
      </c>
    </row>
    <row r="90" spans="1:10" ht="15" customHeight="1" x14ac:dyDescent="0.35">
      <c r="A90" s="7" t="str">
        <f>IF(C90="","","T"&amp;TEXT(B90,"000")&amp;"I"&amp;TEXT(COUNTIF(B$2:B90,B90),"000"))</f>
        <v>T008I003</v>
      </c>
      <c r="B90" s="7">
        <v>8</v>
      </c>
      <c r="C90" s="8" t="s">
        <v>31</v>
      </c>
      <c r="D90" s="7" t="s">
        <v>42</v>
      </c>
      <c r="E90" s="7" t="s">
        <v>24</v>
      </c>
      <c r="F90" s="8" t="s">
        <v>242</v>
      </c>
      <c r="G90" s="8"/>
      <c r="H90" s="8"/>
      <c r="I90" s="8" t="s">
        <v>40</v>
      </c>
      <c r="J90" s="8" t="s">
        <v>36</v>
      </c>
    </row>
    <row r="91" spans="1:10" ht="15" customHeight="1" x14ac:dyDescent="0.35">
      <c r="A91" s="7" t="str">
        <f>IF(C91="","","T"&amp;TEXT(B91,"000")&amp;"I"&amp;TEXT(COUNTIF(B$2:B91,B91),"000"))</f>
        <v>T008I004</v>
      </c>
      <c r="B91" s="7">
        <v>8</v>
      </c>
      <c r="C91" s="8" t="s">
        <v>121</v>
      </c>
      <c r="D91" s="7" t="s">
        <v>27</v>
      </c>
      <c r="E91" s="7" t="s">
        <v>23</v>
      </c>
      <c r="F91" s="8" t="s">
        <v>243</v>
      </c>
      <c r="G91" s="8"/>
      <c r="H91" s="8" t="s">
        <v>159</v>
      </c>
      <c r="I91" s="8" t="s">
        <v>40</v>
      </c>
      <c r="J91" s="8" t="s">
        <v>35</v>
      </c>
    </row>
    <row r="92" spans="1:10" ht="15" customHeight="1" x14ac:dyDescent="0.35">
      <c r="A92" s="7" t="str">
        <f>IF(C92="","","T"&amp;TEXT(B92,"000")&amp;"I"&amp;TEXT(COUNTIF(B$2:B92,B92),"000"))</f>
        <v>T008I005</v>
      </c>
      <c r="B92" s="7">
        <v>8</v>
      </c>
      <c r="C92" s="8" t="s">
        <v>101</v>
      </c>
      <c r="D92" s="7" t="s">
        <v>30</v>
      </c>
      <c r="E92" s="7" t="s">
        <v>24</v>
      </c>
      <c r="F92" s="8" t="s">
        <v>244</v>
      </c>
      <c r="G92" s="8"/>
      <c r="H92" s="8" t="s">
        <v>245</v>
      </c>
      <c r="I92" s="8" t="s">
        <v>28</v>
      </c>
      <c r="J92" s="8" t="s">
        <v>35</v>
      </c>
    </row>
    <row r="93" spans="1:10" ht="15" customHeight="1" x14ac:dyDescent="0.35">
      <c r="A93" s="7" t="str">
        <f>IF(C93="","","T"&amp;TEXT(B93,"000")&amp;"I"&amp;TEXT(COUNTIF(B$2:B93,B93),"000"))</f>
        <v>T008I006</v>
      </c>
      <c r="B93" s="7">
        <v>8</v>
      </c>
      <c r="C93" s="8" t="s">
        <v>41</v>
      </c>
      <c r="D93" s="7" t="s">
        <v>23</v>
      </c>
      <c r="E93" s="7" t="s">
        <v>24</v>
      </c>
      <c r="F93" s="8" t="s">
        <v>246</v>
      </c>
      <c r="G93" s="8"/>
      <c r="H93" s="8" t="s">
        <v>245</v>
      </c>
      <c r="I93" s="8" t="s">
        <v>37</v>
      </c>
      <c r="J93" s="8" t="s">
        <v>35</v>
      </c>
    </row>
    <row r="94" spans="1:10" ht="15" customHeight="1" x14ac:dyDescent="0.35">
      <c r="A94" s="7" t="str">
        <f>IF(C94="","","T"&amp;TEXT(B94,"000")&amp;"I"&amp;TEXT(COUNTIF(B$2:B94,B94),"000"))</f>
        <v>T009I001</v>
      </c>
      <c r="B94" s="7">
        <v>9</v>
      </c>
      <c r="C94" s="8" t="s">
        <v>156</v>
      </c>
      <c r="D94" s="7" t="s">
        <v>30</v>
      </c>
      <c r="E94" s="7" t="s">
        <v>24</v>
      </c>
      <c r="F94" s="8" t="s">
        <v>247</v>
      </c>
      <c r="G94" s="8"/>
      <c r="H94" s="8"/>
      <c r="I94" s="8" t="s">
        <v>40</v>
      </c>
      <c r="J94" s="8" t="s">
        <v>36</v>
      </c>
    </row>
    <row r="95" spans="1:10" ht="15" customHeight="1" x14ac:dyDescent="0.35">
      <c r="A95" s="7" t="str">
        <f>IF(C95="","","T"&amp;TEXT(B95,"000")&amp;"I"&amp;TEXT(COUNTIF(B$2:B95,B95),"000"))</f>
        <v>T009I002</v>
      </c>
      <c r="B95" s="7">
        <v>9</v>
      </c>
      <c r="C95" s="8" t="s">
        <v>98</v>
      </c>
      <c r="D95" s="7" t="s">
        <v>30</v>
      </c>
      <c r="E95" s="7" t="s">
        <v>24</v>
      </c>
      <c r="F95" s="8" t="s">
        <v>248</v>
      </c>
      <c r="G95" s="8"/>
      <c r="H95" s="8"/>
      <c r="I95" s="8" t="s">
        <v>111</v>
      </c>
      <c r="J95" s="8" t="s">
        <v>36</v>
      </c>
    </row>
    <row r="96" spans="1:10" ht="15" customHeight="1" x14ac:dyDescent="0.35">
      <c r="A96" s="7" t="str">
        <f>IF(C96="","","T"&amp;TEXT(B96,"000")&amp;"I"&amp;TEXT(COUNTIF(B$2:B96,B96),"000"))</f>
        <v>T009I003</v>
      </c>
      <c r="B96" s="7">
        <v>9</v>
      </c>
      <c r="C96" s="8" t="s">
        <v>115</v>
      </c>
      <c r="D96" s="7" t="s">
        <v>27</v>
      </c>
      <c r="E96" s="7" t="s">
        <v>23</v>
      </c>
      <c r="F96" s="8" t="s">
        <v>249</v>
      </c>
      <c r="G96" s="8"/>
      <c r="H96" s="8"/>
      <c r="I96" s="8" t="s">
        <v>25</v>
      </c>
      <c r="J96" s="8" t="s">
        <v>36</v>
      </c>
    </row>
    <row r="97" spans="1:10" ht="15" customHeight="1" x14ac:dyDescent="0.35">
      <c r="A97" s="7" t="str">
        <f>IF(C97="","","T"&amp;TEXT(B97,"000")&amp;"I"&amp;TEXT(COUNTIF(B$2:B97,B97),"000"))</f>
        <v>T009I004</v>
      </c>
      <c r="B97" s="7">
        <v>9</v>
      </c>
      <c r="C97" s="8" t="s">
        <v>44</v>
      </c>
      <c r="D97" s="7" t="s">
        <v>23</v>
      </c>
      <c r="E97" s="7" t="s">
        <v>24</v>
      </c>
      <c r="F97" s="8" t="s">
        <v>250</v>
      </c>
      <c r="G97" s="8"/>
      <c r="H97" s="8"/>
      <c r="I97" s="8" t="s">
        <v>40</v>
      </c>
      <c r="J97" s="8" t="s">
        <v>36</v>
      </c>
    </row>
    <row r="98" spans="1:10" ht="15" customHeight="1" x14ac:dyDescent="0.35">
      <c r="A98" s="7" t="str">
        <f>IF(C98="","","T"&amp;TEXT(B98,"000")&amp;"I"&amp;TEXT(COUNTIF(B$2:B98,B98),"000"))</f>
        <v>T009I005</v>
      </c>
      <c r="B98" s="7">
        <v>9</v>
      </c>
      <c r="C98" s="8" t="s">
        <v>101</v>
      </c>
      <c r="D98" s="7" t="s">
        <v>42</v>
      </c>
      <c r="E98" s="7" t="s">
        <v>24</v>
      </c>
      <c r="F98" s="8" t="s">
        <v>251</v>
      </c>
      <c r="G98" s="8"/>
      <c r="H98" s="8"/>
      <c r="I98" s="8" t="s">
        <v>25</v>
      </c>
      <c r="J98" s="8" t="s">
        <v>36</v>
      </c>
    </row>
    <row r="99" spans="1:10" ht="15" customHeight="1" x14ac:dyDescent="0.35">
      <c r="A99" s="7" t="str">
        <f>IF(C99="","","T"&amp;TEXT(B99,"000")&amp;"I"&amp;TEXT(COUNTIF(B$2:B99,B99),"000"))</f>
        <v>T009I006</v>
      </c>
      <c r="B99" s="7">
        <v>9</v>
      </c>
      <c r="C99" s="8" t="s">
        <v>46</v>
      </c>
      <c r="D99" s="7" t="s">
        <v>32</v>
      </c>
      <c r="E99" s="7" t="s">
        <v>24</v>
      </c>
      <c r="F99" s="8" t="s">
        <v>252</v>
      </c>
      <c r="G99" s="8"/>
      <c r="H99" s="8"/>
      <c r="I99" s="8" t="s">
        <v>28</v>
      </c>
      <c r="J99" s="8" t="s">
        <v>36</v>
      </c>
    </row>
    <row r="100" spans="1:10" ht="15" customHeight="1" x14ac:dyDescent="0.35">
      <c r="A100" s="7" t="str">
        <f>IF(C100="","","T"&amp;TEXT(B100,"000")&amp;"I"&amp;TEXT(COUNTIF(B$2:B100,B100),"000"))</f>
        <v>T009I007</v>
      </c>
      <c r="B100" s="7">
        <v>9</v>
      </c>
      <c r="C100" s="8" t="s">
        <v>22</v>
      </c>
      <c r="D100" s="7" t="s">
        <v>42</v>
      </c>
      <c r="E100" s="7" t="s">
        <v>24</v>
      </c>
      <c r="F100" s="8" t="s">
        <v>253</v>
      </c>
      <c r="G100" s="8"/>
      <c r="H100" s="8"/>
      <c r="I100" s="8" t="s">
        <v>28</v>
      </c>
      <c r="J100" s="8" t="s">
        <v>36</v>
      </c>
    </row>
    <row r="101" spans="1:10" ht="15" customHeight="1" x14ac:dyDescent="0.35">
      <c r="A101" s="7" t="str">
        <f>IF(C101="","","T"&amp;TEXT(B101,"000")&amp;"I"&amp;TEXT(COUNTIF(B$2:B101,B101),"000"))</f>
        <v>T009I008</v>
      </c>
      <c r="B101" s="7">
        <v>9</v>
      </c>
      <c r="C101" s="8" t="s">
        <v>34</v>
      </c>
      <c r="D101" s="7" t="s">
        <v>30</v>
      </c>
      <c r="E101" s="7" t="s">
        <v>24</v>
      </c>
      <c r="F101" s="8" t="s">
        <v>254</v>
      </c>
      <c r="G101" s="8"/>
      <c r="H101" s="8"/>
      <c r="I101" s="8" t="s">
        <v>40</v>
      </c>
      <c r="J101" s="8" t="s">
        <v>36</v>
      </c>
    </row>
    <row r="102" spans="1:10" ht="15" customHeight="1" x14ac:dyDescent="0.35">
      <c r="A102" s="7" t="str">
        <f>IF(C102="","","T"&amp;TEXT(B102,"000")&amp;"I"&amp;TEXT(COUNTIF(B$2:B102,B102),"000"))</f>
        <v>T009I009</v>
      </c>
      <c r="B102" s="7">
        <v>9</v>
      </c>
      <c r="C102" s="8" t="s">
        <v>151</v>
      </c>
      <c r="D102" s="7" t="s">
        <v>27</v>
      </c>
      <c r="E102" s="7" t="s">
        <v>24</v>
      </c>
      <c r="F102" s="8" t="s">
        <v>255</v>
      </c>
      <c r="G102" s="8"/>
      <c r="H102" s="8"/>
      <c r="I102" s="8" t="s">
        <v>25</v>
      </c>
      <c r="J102" s="8" t="s">
        <v>26</v>
      </c>
    </row>
    <row r="103" spans="1:10" ht="15" customHeight="1" x14ac:dyDescent="0.35">
      <c r="A103" s="7" t="str">
        <f>IF(C103="","","T"&amp;TEXT(B103,"000")&amp;"I"&amp;TEXT(COUNTIF(B$2:B103,B103),"000"))</f>
        <v>T009I010</v>
      </c>
      <c r="B103" s="7">
        <v>9</v>
      </c>
      <c r="C103" s="8" t="s">
        <v>167</v>
      </c>
      <c r="D103" s="7" t="s">
        <v>27</v>
      </c>
      <c r="E103" s="7" t="s">
        <v>24</v>
      </c>
      <c r="F103" s="8" t="s">
        <v>256</v>
      </c>
      <c r="G103" s="8"/>
      <c r="H103" s="8"/>
      <c r="I103" s="8" t="s">
        <v>25</v>
      </c>
      <c r="J103" s="8" t="s">
        <v>26</v>
      </c>
    </row>
    <row r="104" spans="1:10" ht="15" customHeight="1" x14ac:dyDescent="0.35">
      <c r="A104" s="7" t="str">
        <f>IF(C104="","","T"&amp;TEXT(B104,"000")&amp;"I"&amp;TEXT(COUNTIF(B$2:B104,B104),"000"))</f>
        <v>T009I011</v>
      </c>
      <c r="B104" s="7">
        <v>9</v>
      </c>
      <c r="C104" s="8" t="s">
        <v>142</v>
      </c>
      <c r="D104" s="7" t="s">
        <v>30</v>
      </c>
      <c r="E104" s="7" t="s">
        <v>24</v>
      </c>
      <c r="F104" s="8" t="s">
        <v>257</v>
      </c>
      <c r="G104" s="8"/>
      <c r="H104" s="8"/>
      <c r="I104" s="8" t="s">
        <v>25</v>
      </c>
      <c r="J104" s="8" t="s">
        <v>26</v>
      </c>
    </row>
    <row r="105" spans="1:10" ht="15" customHeight="1" x14ac:dyDescent="0.35">
      <c r="A105" s="7" t="str">
        <f>IF(C105="","","T"&amp;TEXT(B105,"000")&amp;"I"&amp;TEXT(COUNTIF(B$2:B105,B105),"000"))</f>
        <v>T009I012</v>
      </c>
      <c r="B105" s="7">
        <v>9</v>
      </c>
      <c r="C105" s="8" t="s">
        <v>121</v>
      </c>
      <c r="D105" s="7" t="s">
        <v>89</v>
      </c>
      <c r="E105" s="7" t="s">
        <v>24</v>
      </c>
      <c r="F105" s="8" t="s">
        <v>258</v>
      </c>
      <c r="G105" s="8"/>
      <c r="H105" s="8" t="s">
        <v>259</v>
      </c>
      <c r="I105" s="8" t="s">
        <v>87</v>
      </c>
      <c r="J105" s="8" t="s">
        <v>35</v>
      </c>
    </row>
    <row r="106" spans="1:10" ht="15" customHeight="1" x14ac:dyDescent="0.35">
      <c r="A106" s="7" t="str">
        <f>IF(C106="","","T"&amp;TEXT(B106,"000")&amp;"I"&amp;TEXT(COUNTIF(B$2:B106,B106),"000"))</f>
        <v>T010I001</v>
      </c>
      <c r="B106" s="7">
        <v>10</v>
      </c>
      <c r="C106" s="8" t="s">
        <v>103</v>
      </c>
      <c r="D106" s="7" t="s">
        <v>27</v>
      </c>
      <c r="E106" s="7" t="s">
        <v>23</v>
      </c>
      <c r="F106" s="8" t="s">
        <v>260</v>
      </c>
      <c r="G106" s="8"/>
      <c r="H106" s="8"/>
      <c r="I106" s="8" t="s">
        <v>40</v>
      </c>
      <c r="J106" s="8" t="s">
        <v>36</v>
      </c>
    </row>
    <row r="107" spans="1:10" ht="15" customHeight="1" x14ac:dyDescent="0.35">
      <c r="A107" s="7" t="str">
        <f>IF(C107="","","T"&amp;TEXT(B107,"000")&amp;"I"&amp;TEXT(COUNTIF(B$2:B107,B107),"000"))</f>
        <v>T010I002</v>
      </c>
      <c r="B107" s="7">
        <v>10</v>
      </c>
      <c r="C107" s="8" t="s">
        <v>115</v>
      </c>
      <c r="D107" s="7" t="s">
        <v>23</v>
      </c>
      <c r="E107" s="7" t="s">
        <v>24</v>
      </c>
      <c r="F107" s="8" t="s">
        <v>261</v>
      </c>
      <c r="G107" s="8"/>
      <c r="H107" s="8"/>
      <c r="I107" s="8" t="s">
        <v>40</v>
      </c>
      <c r="J107" s="8" t="s">
        <v>36</v>
      </c>
    </row>
    <row r="108" spans="1:10" ht="15" customHeight="1" x14ac:dyDescent="0.35">
      <c r="A108" s="7" t="str">
        <f>IF(C108="","","T"&amp;TEXT(B108,"000")&amp;"I"&amp;TEXT(COUNTIF(B$2:B108,B108),"000"))</f>
        <v>T010I003</v>
      </c>
      <c r="B108" s="7">
        <v>10</v>
      </c>
      <c r="C108" s="8" t="s">
        <v>29</v>
      </c>
      <c r="D108" s="7" t="s">
        <v>27</v>
      </c>
      <c r="E108" s="7" t="s">
        <v>24</v>
      </c>
      <c r="F108" s="8" t="s">
        <v>262</v>
      </c>
      <c r="G108" s="8"/>
      <c r="H108" s="8"/>
      <c r="I108" s="8" t="s">
        <v>28</v>
      </c>
      <c r="J108" s="8" t="s">
        <v>36</v>
      </c>
    </row>
    <row r="109" spans="1:10" ht="15" customHeight="1" x14ac:dyDescent="0.35">
      <c r="A109" s="7" t="str">
        <f>IF(C109="","","T"&amp;TEXT(B109,"000")&amp;"I"&amp;TEXT(COUNTIF(B$2:B109,B109),"000"))</f>
        <v>T010I004</v>
      </c>
      <c r="B109" s="7">
        <v>10</v>
      </c>
      <c r="C109" s="8" t="s">
        <v>133</v>
      </c>
      <c r="D109" s="7" t="s">
        <v>42</v>
      </c>
      <c r="E109" s="7" t="s">
        <v>24</v>
      </c>
      <c r="F109" s="8" t="s">
        <v>263</v>
      </c>
      <c r="G109" s="8"/>
      <c r="H109" s="8"/>
      <c r="I109" s="8" t="s">
        <v>28</v>
      </c>
      <c r="J109" s="8" t="s">
        <v>36</v>
      </c>
    </row>
    <row r="110" spans="1:10" ht="15" customHeight="1" x14ac:dyDescent="0.35">
      <c r="A110" s="7" t="str">
        <f>IF(C110="","","T"&amp;TEXT(B110,"000")&amp;"I"&amp;TEXT(COUNTIF(B$2:B110,B110),"000"))</f>
        <v>T010I005</v>
      </c>
      <c r="B110" s="7">
        <v>10</v>
      </c>
      <c r="C110" s="8" t="s">
        <v>90</v>
      </c>
      <c r="D110" s="7" t="s">
        <v>30</v>
      </c>
      <c r="E110" s="7" t="s">
        <v>24</v>
      </c>
      <c r="F110" s="8" t="s">
        <v>264</v>
      </c>
      <c r="G110" s="8"/>
      <c r="H110" s="8"/>
      <c r="I110" s="8" t="s">
        <v>116</v>
      </c>
      <c r="J110" s="8" t="s">
        <v>36</v>
      </c>
    </row>
    <row r="111" spans="1:10" ht="15" customHeight="1" x14ac:dyDescent="0.35">
      <c r="A111" s="7" t="str">
        <f>IF(C111="","","T"&amp;TEXT(B111,"000")&amp;"I"&amp;TEXT(COUNTIF(B$2:B111,B111),"000"))</f>
        <v>T010I006</v>
      </c>
      <c r="B111" s="7">
        <v>10</v>
      </c>
      <c r="C111" s="8" t="s">
        <v>45</v>
      </c>
      <c r="D111" s="7" t="s">
        <v>27</v>
      </c>
      <c r="E111" s="7" t="s">
        <v>23</v>
      </c>
      <c r="F111" s="8" t="s">
        <v>265</v>
      </c>
      <c r="G111" s="8"/>
      <c r="H111" s="8"/>
      <c r="I111" s="8" t="s">
        <v>25</v>
      </c>
      <c r="J111" s="8" t="s">
        <v>36</v>
      </c>
    </row>
    <row r="112" spans="1:10" ht="15" customHeight="1" x14ac:dyDescent="0.35">
      <c r="A112" s="7" t="str">
        <f>IF(C112="","","T"&amp;TEXT(B112,"000")&amp;"I"&amp;TEXT(COUNTIF(B$2:B112,B112),"000"))</f>
        <v>T010I007</v>
      </c>
      <c r="B112" s="7">
        <v>10</v>
      </c>
      <c r="C112" s="8" t="s">
        <v>115</v>
      </c>
      <c r="D112" s="7" t="s">
        <v>23</v>
      </c>
      <c r="E112" s="7" t="s">
        <v>23</v>
      </c>
      <c r="F112" s="8" t="s">
        <v>266</v>
      </c>
      <c r="G112" s="8"/>
      <c r="H112" s="8"/>
      <c r="I112" s="8" t="s">
        <v>40</v>
      </c>
      <c r="J112" s="8" t="s">
        <v>36</v>
      </c>
    </row>
    <row r="113" spans="1:10" ht="15" customHeight="1" x14ac:dyDescent="0.35">
      <c r="A113" s="7" t="str">
        <f>IF(C113="","","T"&amp;TEXT(B113,"000")&amp;"I"&amp;TEXT(COUNTIF(B$2:B113,B113),"000"))</f>
        <v>T010I008</v>
      </c>
      <c r="B113" s="7">
        <v>10</v>
      </c>
      <c r="C113" s="8" t="s">
        <v>167</v>
      </c>
      <c r="D113" s="7" t="s">
        <v>27</v>
      </c>
      <c r="E113" s="7" t="s">
        <v>24</v>
      </c>
      <c r="F113" s="8" t="s">
        <v>267</v>
      </c>
      <c r="G113" s="8"/>
      <c r="H113" s="8"/>
      <c r="I113" s="8" t="s">
        <v>40</v>
      </c>
      <c r="J113" s="8" t="s">
        <v>36</v>
      </c>
    </row>
    <row r="114" spans="1:10" ht="15" customHeight="1" x14ac:dyDescent="0.35">
      <c r="A114" s="7" t="str">
        <f>IF(C114="","","T"&amp;TEXT(B114,"000")&amp;"I"&amp;TEXT(COUNTIF(B$2:B114,B114),"000"))</f>
        <v>T010I009</v>
      </c>
      <c r="B114" s="7">
        <v>10</v>
      </c>
      <c r="C114" s="8" t="s">
        <v>33</v>
      </c>
      <c r="D114" s="7" t="s">
        <v>42</v>
      </c>
      <c r="E114" s="7" t="s">
        <v>23</v>
      </c>
      <c r="F114" s="8" t="s">
        <v>268</v>
      </c>
      <c r="G114" s="8"/>
      <c r="H114" s="8"/>
      <c r="I114" s="8" t="s">
        <v>40</v>
      </c>
      <c r="J114" s="8" t="s">
        <v>26</v>
      </c>
    </row>
    <row r="115" spans="1:10" ht="15" customHeight="1" x14ac:dyDescent="0.35">
      <c r="A115" s="7" t="str">
        <f>IF(C115="","","T"&amp;TEXT(B115,"000")&amp;"I"&amp;TEXT(COUNTIF(B$2:B115,B115),"000"))</f>
        <v>T010I010</v>
      </c>
      <c r="B115" s="7">
        <v>10</v>
      </c>
      <c r="C115" s="8" t="s">
        <v>156</v>
      </c>
      <c r="D115" s="7" t="s">
        <v>27</v>
      </c>
      <c r="E115" s="7" t="s">
        <v>24</v>
      </c>
      <c r="F115" s="8" t="s">
        <v>231</v>
      </c>
      <c r="G115" s="8"/>
      <c r="H115" s="8"/>
      <c r="I115" s="8" t="s">
        <v>37</v>
      </c>
      <c r="J115" s="8" t="s">
        <v>26</v>
      </c>
    </row>
    <row r="116" spans="1:10" ht="15" customHeight="1" x14ac:dyDescent="0.35">
      <c r="A116" s="7" t="str">
        <f>IF(C116="","","T"&amp;TEXT(B116,"000")&amp;"I"&amp;TEXT(COUNTIF(B$2:B116,B116),"000"))</f>
        <v>T010I011</v>
      </c>
      <c r="B116" s="7">
        <v>10</v>
      </c>
      <c r="C116" s="8" t="s">
        <v>45</v>
      </c>
      <c r="D116" s="7" t="s">
        <v>30</v>
      </c>
      <c r="E116" s="7" t="s">
        <v>24</v>
      </c>
      <c r="F116" s="8" t="s">
        <v>269</v>
      </c>
      <c r="G116" s="8"/>
      <c r="H116" s="8" t="s">
        <v>193</v>
      </c>
      <c r="I116" s="8" t="s">
        <v>141</v>
      </c>
      <c r="J116" s="8" t="s">
        <v>35</v>
      </c>
    </row>
    <row r="117" spans="1:10" ht="15" customHeight="1" x14ac:dyDescent="0.35">
      <c r="A117" s="7" t="str">
        <f>IF(C117="","","T"&amp;TEXT(B117,"000")&amp;"I"&amp;TEXT(COUNTIF(B$2:B117,B117),"000"))</f>
        <v>T010I012</v>
      </c>
      <c r="B117" s="7">
        <v>10</v>
      </c>
      <c r="C117" s="8" t="s">
        <v>31</v>
      </c>
      <c r="D117" s="7" t="s">
        <v>30</v>
      </c>
      <c r="E117" s="7" t="s">
        <v>24</v>
      </c>
      <c r="F117" s="8" t="s">
        <v>270</v>
      </c>
      <c r="G117" s="8"/>
      <c r="H117" s="8" t="s">
        <v>183</v>
      </c>
      <c r="I117" s="8" t="s">
        <v>141</v>
      </c>
      <c r="J117" s="8" t="s">
        <v>35</v>
      </c>
    </row>
    <row r="118" spans="1:10" ht="15" customHeight="1" x14ac:dyDescent="0.35">
      <c r="A118" s="7" t="str">
        <f>IF(C118="","","T"&amp;TEXT(B118,"000")&amp;"I"&amp;TEXT(COUNTIF(B$2:B118,B118),"000"))</f>
        <v>T011I001</v>
      </c>
      <c r="B118" s="7">
        <v>11</v>
      </c>
      <c r="C118" s="8" t="s">
        <v>44</v>
      </c>
      <c r="D118" s="7" t="s">
        <v>30</v>
      </c>
      <c r="E118" s="7" t="s">
        <v>24</v>
      </c>
      <c r="F118" s="8" t="s">
        <v>271</v>
      </c>
      <c r="G118" s="8"/>
      <c r="H118" s="8"/>
      <c r="I118" s="8" t="s">
        <v>40</v>
      </c>
      <c r="J118" s="8" t="s">
        <v>36</v>
      </c>
    </row>
    <row r="119" spans="1:10" ht="15" customHeight="1" x14ac:dyDescent="0.35">
      <c r="A119" s="7" t="str">
        <f>IF(C119="","","T"&amp;TEXT(B119,"000")&amp;"I"&amp;TEXT(COUNTIF(B$2:B119,B119),"000"))</f>
        <v>T011I002</v>
      </c>
      <c r="B119" s="7">
        <v>11</v>
      </c>
      <c r="C119" s="8" t="s">
        <v>45</v>
      </c>
      <c r="D119" s="7" t="s">
        <v>42</v>
      </c>
      <c r="E119" s="7" t="s">
        <v>24</v>
      </c>
      <c r="F119" s="8" t="s">
        <v>272</v>
      </c>
      <c r="G119" s="8"/>
      <c r="H119" s="8"/>
      <c r="I119" s="8" t="s">
        <v>141</v>
      </c>
      <c r="J119" s="8" t="s">
        <v>36</v>
      </c>
    </row>
    <row r="120" spans="1:10" ht="15" customHeight="1" x14ac:dyDescent="0.35">
      <c r="A120" s="7" t="str">
        <f>IF(C120="","","T"&amp;TEXT(B120,"000")&amp;"I"&amp;TEXT(COUNTIF(B$2:B120,B120),"000"))</f>
        <v>T011I003</v>
      </c>
      <c r="B120" s="7">
        <v>11</v>
      </c>
      <c r="C120" s="8" t="s">
        <v>167</v>
      </c>
      <c r="D120" s="7" t="s">
        <v>170</v>
      </c>
      <c r="E120" s="7" t="s">
        <v>23</v>
      </c>
      <c r="F120" s="8" t="s">
        <v>273</v>
      </c>
      <c r="G120" s="8"/>
      <c r="H120" s="8"/>
      <c r="I120" s="8" t="s">
        <v>116</v>
      </c>
      <c r="J120" s="8" t="s">
        <v>36</v>
      </c>
    </row>
    <row r="121" spans="1:10" ht="15" customHeight="1" x14ac:dyDescent="0.35">
      <c r="A121" s="7" t="str">
        <f>IF(C121="","","T"&amp;TEXT(B121,"000")&amp;"I"&amp;TEXT(COUNTIF(B$2:B121,B121),"000"))</f>
        <v>T011I004</v>
      </c>
      <c r="B121" s="7">
        <v>11</v>
      </c>
      <c r="C121" s="8" t="s">
        <v>156</v>
      </c>
      <c r="D121" s="7" t="s">
        <v>274</v>
      </c>
      <c r="E121" s="7" t="s">
        <v>24</v>
      </c>
      <c r="F121" s="8" t="s">
        <v>275</v>
      </c>
      <c r="G121" s="8"/>
      <c r="H121" s="8"/>
      <c r="I121" s="8" t="s">
        <v>87</v>
      </c>
      <c r="J121" s="8" t="s">
        <v>26</v>
      </c>
    </row>
    <row r="122" spans="1:10" ht="15" customHeight="1" x14ac:dyDescent="0.35">
      <c r="A122" s="7" t="str">
        <f>IF(C122="","","T"&amp;TEXT(B122,"000")&amp;"I"&amp;TEXT(COUNTIF(B$2:B122,B122),"000"))</f>
        <v>T011I005</v>
      </c>
      <c r="B122" s="7">
        <v>11</v>
      </c>
      <c r="C122" s="8" t="s">
        <v>101</v>
      </c>
      <c r="D122" s="7" t="s">
        <v>179</v>
      </c>
      <c r="E122" s="7" t="s">
        <v>24</v>
      </c>
      <c r="F122" s="8" t="s">
        <v>276</v>
      </c>
      <c r="G122" s="8"/>
      <c r="H122" s="8"/>
      <c r="I122" s="8" t="s">
        <v>116</v>
      </c>
      <c r="J122" s="8" t="s">
        <v>35</v>
      </c>
    </row>
    <row r="123" spans="1:10" ht="15" customHeight="1" x14ac:dyDescent="0.35">
      <c r="A123" s="7" t="str">
        <f>IF(C123="","","T"&amp;TEXT(B123,"000")&amp;"I"&amp;TEXT(COUNTIF(B$2:B123,B123),"000"))</f>
        <v>T011I006</v>
      </c>
      <c r="B123" s="7">
        <v>11</v>
      </c>
      <c r="C123" s="8" t="s">
        <v>38</v>
      </c>
      <c r="D123" s="7" t="s">
        <v>23</v>
      </c>
      <c r="E123" s="7" t="s">
        <v>24</v>
      </c>
      <c r="F123" s="8" t="s">
        <v>166</v>
      </c>
      <c r="G123" s="8"/>
      <c r="H123" s="8"/>
      <c r="I123" s="8" t="s">
        <v>40</v>
      </c>
      <c r="J123" s="8" t="s">
        <v>35</v>
      </c>
    </row>
    <row r="124" spans="1:10" ht="15" customHeight="1" x14ac:dyDescent="0.35">
      <c r="A124" s="7" t="str">
        <f>IF(C124="","","T"&amp;TEXT(B124,"000")&amp;"I"&amp;TEXT(COUNTIF(B$2:B124,B124),"000"))</f>
        <v>T011I007</v>
      </c>
      <c r="B124" s="7">
        <v>11</v>
      </c>
      <c r="C124" s="8" t="s">
        <v>43</v>
      </c>
      <c r="D124" s="7" t="s">
        <v>27</v>
      </c>
      <c r="E124" s="7" t="s">
        <v>24</v>
      </c>
      <c r="F124" s="8" t="s">
        <v>277</v>
      </c>
      <c r="G124" s="8"/>
      <c r="H124" s="8"/>
      <c r="I124" s="8" t="s">
        <v>40</v>
      </c>
      <c r="J124" s="8" t="s">
        <v>35</v>
      </c>
    </row>
    <row r="125" spans="1:10" ht="15" customHeight="1" x14ac:dyDescent="0.35">
      <c r="A125" s="7" t="str">
        <f>IF(C125="","","T"&amp;TEXT(B125,"000")&amp;"I"&amp;TEXT(COUNTIF(B$2:B125,B125),"000"))</f>
        <v>T012I001</v>
      </c>
      <c r="B125" s="7">
        <v>12</v>
      </c>
      <c r="C125" s="8" t="s">
        <v>151</v>
      </c>
      <c r="D125" s="7" t="s">
        <v>27</v>
      </c>
      <c r="E125" s="7" t="s">
        <v>24</v>
      </c>
      <c r="F125" s="8" t="s">
        <v>278</v>
      </c>
      <c r="G125" s="8"/>
      <c r="H125" s="8"/>
      <c r="I125" s="8" t="s">
        <v>40</v>
      </c>
      <c r="J125" s="8" t="s">
        <v>36</v>
      </c>
    </row>
    <row r="126" spans="1:10" ht="15" customHeight="1" x14ac:dyDescent="0.35">
      <c r="A126" s="7" t="str">
        <f>IF(C126="","","T"&amp;TEXT(B126,"000")&amp;"I"&amp;TEXT(COUNTIF(B$2:B126,B126),"000"))</f>
        <v>T012I002</v>
      </c>
      <c r="B126" s="7">
        <v>12</v>
      </c>
      <c r="C126" s="8" t="s">
        <v>151</v>
      </c>
      <c r="D126" s="7" t="s">
        <v>27</v>
      </c>
      <c r="E126" s="7" t="s">
        <v>23</v>
      </c>
      <c r="F126" s="8" t="s">
        <v>279</v>
      </c>
      <c r="G126" s="8"/>
      <c r="H126" s="8"/>
      <c r="I126" s="8" t="s">
        <v>25</v>
      </c>
      <c r="J126" s="8" t="s">
        <v>36</v>
      </c>
    </row>
    <row r="127" spans="1:10" ht="15" customHeight="1" x14ac:dyDescent="0.35">
      <c r="A127" s="7" t="str">
        <f>IF(C127="","","T"&amp;TEXT(B127,"000")&amp;"I"&amp;TEXT(COUNTIF(B$2:B127,B127),"000"))</f>
        <v>T012I003</v>
      </c>
      <c r="B127" s="7">
        <v>12</v>
      </c>
      <c r="C127" s="8" t="s">
        <v>133</v>
      </c>
      <c r="D127" s="7" t="s">
        <v>99</v>
      </c>
      <c r="E127" s="7" t="s">
        <v>24</v>
      </c>
      <c r="F127" s="8" t="s">
        <v>280</v>
      </c>
      <c r="G127" s="8"/>
      <c r="H127" s="8"/>
      <c r="I127" s="8" t="s">
        <v>87</v>
      </c>
      <c r="J127" s="8" t="s">
        <v>36</v>
      </c>
    </row>
    <row r="128" spans="1:10" ht="15" customHeight="1" x14ac:dyDescent="0.35">
      <c r="A128" s="7" t="str">
        <f>IF(C128="","","T"&amp;TEXT(B128,"000")&amp;"I"&amp;TEXT(COUNTIF(B$2:B128,B128),"000"))</f>
        <v>T012I004</v>
      </c>
      <c r="B128" s="7">
        <v>12</v>
      </c>
      <c r="C128" s="8" t="s">
        <v>142</v>
      </c>
      <c r="D128" s="7" t="s">
        <v>27</v>
      </c>
      <c r="E128" s="7" t="s">
        <v>24</v>
      </c>
      <c r="F128" s="8" t="s">
        <v>157</v>
      </c>
      <c r="G128" s="8"/>
      <c r="H128" s="8"/>
      <c r="I128" s="8" t="s">
        <v>25</v>
      </c>
      <c r="J128" s="8" t="s">
        <v>36</v>
      </c>
    </row>
    <row r="129" spans="1:10" ht="15" customHeight="1" x14ac:dyDescent="0.35">
      <c r="A129" s="7" t="str">
        <f>IF(C129="","","T"&amp;TEXT(B129,"000")&amp;"I"&amp;TEXT(COUNTIF(B$2:B129,B129),"000"))</f>
        <v>T012I005</v>
      </c>
      <c r="B129" s="7">
        <v>12</v>
      </c>
      <c r="C129" s="8" t="s">
        <v>33</v>
      </c>
      <c r="D129" s="7" t="s">
        <v>30</v>
      </c>
      <c r="E129" s="7" t="s">
        <v>24</v>
      </c>
      <c r="F129" s="8" t="s">
        <v>281</v>
      </c>
      <c r="G129" s="8"/>
      <c r="H129" s="8"/>
      <c r="I129" s="8" t="s">
        <v>28</v>
      </c>
      <c r="J129" s="8" t="s">
        <v>36</v>
      </c>
    </row>
    <row r="130" spans="1:10" ht="15" customHeight="1" x14ac:dyDescent="0.35">
      <c r="A130" s="7" t="str">
        <f>IF(C130="","","T"&amp;TEXT(B130,"000")&amp;"I"&amp;TEXT(COUNTIF(B$2:B130,B130),"000"))</f>
        <v>T012I006</v>
      </c>
      <c r="B130" s="7">
        <v>12</v>
      </c>
      <c r="C130" s="8" t="s">
        <v>124</v>
      </c>
      <c r="D130" s="7" t="s">
        <v>23</v>
      </c>
      <c r="E130" s="7" t="s">
        <v>24</v>
      </c>
      <c r="F130" s="8" t="s">
        <v>282</v>
      </c>
      <c r="G130" s="8"/>
      <c r="H130" s="8"/>
      <c r="I130" s="8" t="s">
        <v>40</v>
      </c>
      <c r="J130" s="8" t="s">
        <v>36</v>
      </c>
    </row>
    <row r="131" spans="1:10" ht="15" customHeight="1" x14ac:dyDescent="0.35">
      <c r="A131" s="7" t="str">
        <f>IF(C131="","","T"&amp;TEXT(B131,"000")&amp;"I"&amp;TEXT(COUNTIF(B$2:B131,B131),"000"))</f>
        <v>T012I007</v>
      </c>
      <c r="B131" s="7">
        <v>12</v>
      </c>
      <c r="C131" s="8" t="s">
        <v>41</v>
      </c>
      <c r="D131" s="7" t="s">
        <v>42</v>
      </c>
      <c r="E131" s="7" t="s">
        <v>24</v>
      </c>
      <c r="F131" s="8" t="s">
        <v>283</v>
      </c>
      <c r="G131" s="8"/>
      <c r="H131" s="8"/>
      <c r="I131" s="8" t="s">
        <v>40</v>
      </c>
      <c r="J131" s="8" t="s">
        <v>36</v>
      </c>
    </row>
    <row r="132" spans="1:10" ht="15" customHeight="1" x14ac:dyDescent="0.35">
      <c r="A132" s="7" t="str">
        <f>IF(C132="","","T"&amp;TEXT(B132,"000")&amp;"I"&amp;TEXT(COUNTIF(B$2:B132,B132),"000"))</f>
        <v>T012I008</v>
      </c>
      <c r="B132" s="7">
        <v>12</v>
      </c>
      <c r="C132" s="8" t="s">
        <v>101</v>
      </c>
      <c r="D132" s="7" t="s">
        <v>30</v>
      </c>
      <c r="E132" s="7" t="s">
        <v>23</v>
      </c>
      <c r="F132" s="8" t="s">
        <v>234</v>
      </c>
      <c r="G132" s="8"/>
      <c r="H132" s="8"/>
      <c r="I132" s="8" t="s">
        <v>28</v>
      </c>
      <c r="J132" s="8" t="s">
        <v>36</v>
      </c>
    </row>
    <row r="133" spans="1:10" ht="15" customHeight="1" x14ac:dyDescent="0.35">
      <c r="A133" s="7" t="str">
        <f>IF(C133="","","T"&amp;TEXT(B133,"000")&amp;"I"&amp;TEXT(COUNTIF(B$2:B133,B133),"000"))</f>
        <v>T012I009</v>
      </c>
      <c r="B133" s="7">
        <v>12</v>
      </c>
      <c r="C133" s="8" t="s">
        <v>33</v>
      </c>
      <c r="D133" s="7" t="s">
        <v>106</v>
      </c>
      <c r="E133" s="7" t="s">
        <v>24</v>
      </c>
      <c r="F133" s="8" t="s">
        <v>284</v>
      </c>
      <c r="G133" s="8"/>
      <c r="H133" s="8"/>
      <c r="I133" s="8" t="s">
        <v>87</v>
      </c>
      <c r="J133" s="8" t="s">
        <v>36</v>
      </c>
    </row>
    <row r="134" spans="1:10" ht="15" customHeight="1" x14ac:dyDescent="0.35">
      <c r="A134" s="7" t="str">
        <f>IF(C134="","","T"&amp;TEXT(B134,"000")&amp;"I"&amp;TEXT(COUNTIF(B$2:B134,B134),"000"))</f>
        <v>T012I010</v>
      </c>
      <c r="B134" s="7">
        <v>12</v>
      </c>
      <c r="C134" s="8" t="s">
        <v>98</v>
      </c>
      <c r="D134" s="7" t="s">
        <v>285</v>
      </c>
      <c r="E134" s="7" t="s">
        <v>23</v>
      </c>
      <c r="F134" s="8" t="s">
        <v>286</v>
      </c>
      <c r="G134" s="8"/>
      <c r="H134" s="8"/>
      <c r="I134" s="8" t="s">
        <v>87</v>
      </c>
      <c r="J134" s="8" t="s">
        <v>26</v>
      </c>
    </row>
    <row r="135" spans="1:10" ht="15" customHeight="1" x14ac:dyDescent="0.35">
      <c r="A135" s="7" t="str">
        <f>IF(C135="","","T"&amp;TEXT(B135,"000")&amp;"I"&amp;TEXT(COUNTIF(B$2:B135,B135),"000"))</f>
        <v>T012I011</v>
      </c>
      <c r="B135" s="7">
        <v>12</v>
      </c>
      <c r="C135" s="8" t="s">
        <v>142</v>
      </c>
      <c r="D135" s="7" t="s">
        <v>170</v>
      </c>
      <c r="E135" s="7" t="s">
        <v>24</v>
      </c>
      <c r="F135" s="8" t="s">
        <v>287</v>
      </c>
      <c r="G135" s="8"/>
      <c r="H135" s="8"/>
      <c r="I135" s="8" t="s">
        <v>116</v>
      </c>
      <c r="J135" s="8" t="s">
        <v>26</v>
      </c>
    </row>
    <row r="136" spans="1:10" ht="15" customHeight="1" x14ac:dyDescent="0.35">
      <c r="A136" s="7" t="str">
        <f>IF(C136="","","T"&amp;TEXT(B136,"000")&amp;"I"&amp;TEXT(COUNTIF(B$2:B136,B136),"000"))</f>
        <v>T012I012</v>
      </c>
      <c r="B136" s="7">
        <v>12</v>
      </c>
      <c r="C136" s="8" t="s">
        <v>151</v>
      </c>
      <c r="D136" s="7" t="s">
        <v>30</v>
      </c>
      <c r="E136" s="7" t="s">
        <v>24</v>
      </c>
      <c r="F136" s="8" t="s">
        <v>240</v>
      </c>
      <c r="G136" s="8"/>
      <c r="H136" s="8" t="s">
        <v>183</v>
      </c>
      <c r="I136" s="8" t="s">
        <v>25</v>
      </c>
      <c r="J136" s="8" t="s">
        <v>35</v>
      </c>
    </row>
    <row r="137" spans="1:10" ht="15" customHeight="1" x14ac:dyDescent="0.35">
      <c r="A137" s="7" t="str">
        <f>IF(C137="","","T"&amp;TEXT(B137,"000")&amp;"I"&amp;TEXT(COUNTIF(B$2:B137,B137),"000"))</f>
        <v>T012I013</v>
      </c>
      <c r="B137" s="7">
        <v>12</v>
      </c>
      <c r="C137" s="8" t="s">
        <v>130</v>
      </c>
      <c r="D137" s="7" t="s">
        <v>32</v>
      </c>
      <c r="E137" s="7" t="s">
        <v>24</v>
      </c>
      <c r="F137" s="8" t="s">
        <v>288</v>
      </c>
      <c r="G137" s="8"/>
      <c r="H137" s="8" t="s">
        <v>183</v>
      </c>
      <c r="I137" s="8" t="s">
        <v>40</v>
      </c>
      <c r="J137" s="8" t="s">
        <v>35</v>
      </c>
    </row>
    <row r="138" spans="1:10" ht="15" customHeight="1" x14ac:dyDescent="0.35">
      <c r="A138" s="7" t="str">
        <f>IF(C138="","","T"&amp;TEXT(B138,"000")&amp;"I"&amp;TEXT(COUNTIF(B$2:B138,B138),"000"))</f>
        <v>T012I014</v>
      </c>
      <c r="B138" s="7">
        <v>12</v>
      </c>
      <c r="C138" s="8" t="s">
        <v>33</v>
      </c>
      <c r="D138" s="7" t="s">
        <v>30</v>
      </c>
      <c r="E138" s="7" t="s">
        <v>24</v>
      </c>
      <c r="F138" s="8" t="s">
        <v>289</v>
      </c>
      <c r="G138" s="8"/>
      <c r="H138" s="8"/>
      <c r="I138" s="8" t="s">
        <v>37</v>
      </c>
      <c r="J138" s="8" t="s">
        <v>35</v>
      </c>
    </row>
    <row r="139" spans="1:10" ht="15" customHeight="1" x14ac:dyDescent="0.35">
      <c r="A139" s="7" t="str">
        <f>IF(C139="","","T"&amp;TEXT(B139,"000")&amp;"I"&amp;TEXT(COUNTIF(B$2:B139,B139),"000"))</f>
        <v>T013I001</v>
      </c>
      <c r="B139" s="7">
        <v>13</v>
      </c>
      <c r="C139" s="8" t="s">
        <v>132</v>
      </c>
      <c r="D139" s="7" t="s">
        <v>27</v>
      </c>
      <c r="E139" s="7" t="s">
        <v>24</v>
      </c>
      <c r="F139" s="8" t="s">
        <v>290</v>
      </c>
      <c r="G139" s="8"/>
      <c r="H139" s="8"/>
      <c r="I139" s="8" t="s">
        <v>25</v>
      </c>
      <c r="J139" s="8" t="s">
        <v>36</v>
      </c>
    </row>
    <row r="140" spans="1:10" ht="15" customHeight="1" x14ac:dyDescent="0.35">
      <c r="A140" s="7" t="str">
        <f>IF(C140="","","T"&amp;TEXT(B140,"000")&amp;"I"&amp;TEXT(COUNTIF(B$2:B140,B140),"000"))</f>
        <v>T013I002</v>
      </c>
      <c r="B140" s="7">
        <v>13</v>
      </c>
      <c r="C140" s="8" t="s">
        <v>38</v>
      </c>
      <c r="D140" s="7" t="s">
        <v>27</v>
      </c>
      <c r="E140" s="7" t="s">
        <v>24</v>
      </c>
      <c r="F140" s="8" t="s">
        <v>291</v>
      </c>
      <c r="G140" s="8"/>
      <c r="H140" s="8"/>
      <c r="I140" s="8" t="s">
        <v>25</v>
      </c>
      <c r="J140" s="8" t="s">
        <v>36</v>
      </c>
    </row>
    <row r="141" spans="1:10" ht="15" customHeight="1" x14ac:dyDescent="0.35">
      <c r="A141" s="7" t="str">
        <f>IF(C141="","","T"&amp;TEXT(B141,"000")&amp;"I"&amp;TEXT(COUNTIF(B$2:B141,B141),"000"))</f>
        <v>T013I003</v>
      </c>
      <c r="B141" s="7">
        <v>13</v>
      </c>
      <c r="C141" s="8" t="s">
        <v>129</v>
      </c>
      <c r="D141" s="7" t="s">
        <v>32</v>
      </c>
      <c r="E141" s="7" t="s">
        <v>24</v>
      </c>
      <c r="F141" s="8" t="s">
        <v>292</v>
      </c>
      <c r="G141" s="8"/>
      <c r="H141" s="8"/>
      <c r="I141" s="8" t="s">
        <v>25</v>
      </c>
      <c r="J141" s="8" t="s">
        <v>36</v>
      </c>
    </row>
    <row r="142" spans="1:10" ht="15" customHeight="1" x14ac:dyDescent="0.35">
      <c r="A142" s="7" t="str">
        <f>IF(C142="","","T"&amp;TEXT(B142,"000")&amp;"I"&amp;TEXT(COUNTIF(B$2:B142,B142),"000"))</f>
        <v>T013I004</v>
      </c>
      <c r="B142" s="7">
        <v>13</v>
      </c>
      <c r="C142" s="8" t="s">
        <v>33</v>
      </c>
      <c r="D142" s="7" t="s">
        <v>23</v>
      </c>
      <c r="E142" s="7" t="s">
        <v>24</v>
      </c>
      <c r="F142" s="8" t="s">
        <v>293</v>
      </c>
      <c r="G142" s="8"/>
      <c r="H142" s="8"/>
      <c r="I142" s="8" t="s">
        <v>28</v>
      </c>
      <c r="J142" s="8" t="s">
        <v>36</v>
      </c>
    </row>
    <row r="143" spans="1:10" ht="15" customHeight="1" x14ac:dyDescent="0.35">
      <c r="A143" s="7" t="str">
        <f>IF(C143="","","T"&amp;TEXT(B143,"000")&amp;"I"&amp;TEXT(COUNTIF(B$2:B143,B143),"000"))</f>
        <v>T013I005</v>
      </c>
      <c r="B143" s="7">
        <v>13</v>
      </c>
      <c r="C143" s="8" t="s">
        <v>167</v>
      </c>
      <c r="D143" s="7" t="s">
        <v>27</v>
      </c>
      <c r="E143" s="7" t="s">
        <v>23</v>
      </c>
      <c r="F143" s="8" t="s">
        <v>294</v>
      </c>
      <c r="G143" s="8"/>
      <c r="H143" s="8"/>
      <c r="I143" s="8" t="s">
        <v>25</v>
      </c>
      <c r="J143" s="8" t="s">
        <v>26</v>
      </c>
    </row>
    <row r="144" spans="1:10" ht="15" customHeight="1" x14ac:dyDescent="0.35">
      <c r="A144" s="7" t="str">
        <f>IF(C144="","","T"&amp;TEXT(B144,"000")&amp;"I"&amp;TEXT(COUNTIF(B$2:B144,B144),"000"))</f>
        <v>T013I006</v>
      </c>
      <c r="B144" s="7">
        <v>13</v>
      </c>
      <c r="C144" s="8" t="s">
        <v>130</v>
      </c>
      <c r="D144" s="7" t="s">
        <v>42</v>
      </c>
      <c r="E144" s="7" t="s">
        <v>24</v>
      </c>
      <c r="F144" s="8" t="s">
        <v>295</v>
      </c>
      <c r="G144" s="8"/>
      <c r="H144" s="8"/>
      <c r="I144" s="8" t="s">
        <v>25</v>
      </c>
      <c r="J144" s="8" t="s">
        <v>26</v>
      </c>
    </row>
    <row r="145" spans="1:10" ht="15" customHeight="1" x14ac:dyDescent="0.35">
      <c r="A145" s="7" t="str">
        <f>IF(C145="","","T"&amp;TEXT(B145,"000")&amp;"I"&amp;TEXT(COUNTIF(B$2:B145,B145),"000"))</f>
        <v>T013I007</v>
      </c>
      <c r="B145" s="7">
        <v>13</v>
      </c>
      <c r="C145" s="8" t="s">
        <v>98</v>
      </c>
      <c r="D145" s="7" t="s">
        <v>27</v>
      </c>
      <c r="E145" s="7" t="s">
        <v>24</v>
      </c>
      <c r="F145" s="8" t="s">
        <v>194</v>
      </c>
      <c r="G145" s="8"/>
      <c r="H145" s="8" t="s">
        <v>259</v>
      </c>
      <c r="I145" s="8" t="s">
        <v>28</v>
      </c>
      <c r="J145" s="8" t="s">
        <v>35</v>
      </c>
    </row>
    <row r="146" spans="1:10" ht="15" customHeight="1" x14ac:dyDescent="0.35">
      <c r="A146" s="7" t="str">
        <f>IF(C146="","","T"&amp;TEXT(B146,"000")&amp;"I"&amp;TEXT(COUNTIF(B$2:B146,B146),"000"))</f>
        <v>T013I008</v>
      </c>
      <c r="B146" s="7">
        <v>13</v>
      </c>
      <c r="C146" s="8" t="s">
        <v>131</v>
      </c>
      <c r="D146" s="7" t="s">
        <v>27</v>
      </c>
      <c r="E146" s="7" t="s">
        <v>24</v>
      </c>
      <c r="F146" s="8" t="s">
        <v>296</v>
      </c>
      <c r="G146" s="8"/>
      <c r="H146" s="8" t="s">
        <v>193</v>
      </c>
      <c r="I146" s="8" t="s">
        <v>40</v>
      </c>
      <c r="J146" s="8" t="s">
        <v>35</v>
      </c>
    </row>
    <row r="147" spans="1:10" ht="15" customHeight="1" x14ac:dyDescent="0.35">
      <c r="A147" s="7" t="str">
        <f>IF(C147="","","T"&amp;TEXT(B147,"000")&amp;"I"&amp;TEXT(COUNTIF(B$2:B147,B147),"000"))</f>
        <v>T014I001</v>
      </c>
      <c r="B147" s="7">
        <v>14</v>
      </c>
      <c r="C147" s="8" t="s">
        <v>44</v>
      </c>
      <c r="D147" s="7" t="s">
        <v>27</v>
      </c>
      <c r="E147" s="7" t="s">
        <v>24</v>
      </c>
      <c r="F147" s="8" t="s">
        <v>297</v>
      </c>
      <c r="G147" s="8"/>
      <c r="H147" s="8"/>
      <c r="I147" s="8" t="s">
        <v>28</v>
      </c>
      <c r="J147" s="8" t="s">
        <v>36</v>
      </c>
    </row>
    <row r="148" spans="1:10" ht="15" customHeight="1" x14ac:dyDescent="0.35">
      <c r="A148" s="7" t="str">
        <f>IF(C148="","","T"&amp;TEXT(B148,"000")&amp;"I"&amp;TEXT(COUNTIF(B$2:B148,B148),"000"))</f>
        <v>T014I002</v>
      </c>
      <c r="B148" s="7">
        <v>14</v>
      </c>
      <c r="C148" s="8" t="s">
        <v>41</v>
      </c>
      <c r="D148" s="7" t="s">
        <v>27</v>
      </c>
      <c r="E148" s="7" t="s">
        <v>24</v>
      </c>
      <c r="F148" s="8" t="s">
        <v>298</v>
      </c>
      <c r="G148" s="8"/>
      <c r="H148" s="8"/>
      <c r="I148" s="8" t="s">
        <v>28</v>
      </c>
      <c r="J148" s="8" t="s">
        <v>36</v>
      </c>
    </row>
    <row r="149" spans="1:10" ht="15" customHeight="1" x14ac:dyDescent="0.35">
      <c r="A149" s="7" t="str">
        <f>IF(C149="","","T"&amp;TEXT(B149,"000")&amp;"I"&amp;TEXT(COUNTIF(B$2:B149,B149),"000"))</f>
        <v>T014I003</v>
      </c>
      <c r="B149" s="7">
        <v>14</v>
      </c>
      <c r="C149" s="8" t="s">
        <v>101</v>
      </c>
      <c r="D149" s="7" t="s">
        <v>42</v>
      </c>
      <c r="E149" s="7" t="s">
        <v>24</v>
      </c>
      <c r="F149" s="8" t="s">
        <v>299</v>
      </c>
      <c r="G149" s="8"/>
      <c r="H149" s="8"/>
      <c r="I149" s="8" t="s">
        <v>25</v>
      </c>
      <c r="J149" s="8" t="s">
        <v>36</v>
      </c>
    </row>
    <row r="150" spans="1:10" ht="15" customHeight="1" x14ac:dyDescent="0.35">
      <c r="A150" s="7" t="str">
        <f>IF(C150="","","T"&amp;TEXT(B150,"000")&amp;"I"&amp;TEXT(COUNTIF(B$2:B150,B150),"000"))</f>
        <v>T014I004</v>
      </c>
      <c r="B150" s="7">
        <v>14</v>
      </c>
      <c r="C150" s="8" t="s">
        <v>103</v>
      </c>
      <c r="D150" s="7" t="s">
        <v>32</v>
      </c>
      <c r="E150" s="7" t="s">
        <v>24</v>
      </c>
      <c r="F150" s="8" t="s">
        <v>290</v>
      </c>
      <c r="G150" s="8"/>
      <c r="H150" s="8"/>
      <c r="I150" s="8" t="s">
        <v>25</v>
      </c>
      <c r="J150" s="8" t="s">
        <v>36</v>
      </c>
    </row>
    <row r="151" spans="1:10" ht="15" customHeight="1" x14ac:dyDescent="0.35">
      <c r="A151" s="7" t="str">
        <f>IF(C151="","","T"&amp;TEXT(B151,"000")&amp;"I"&amp;TEXT(COUNTIF(B$2:B151,B151),"000"))</f>
        <v>T014I005</v>
      </c>
      <c r="B151" s="7">
        <v>14</v>
      </c>
      <c r="C151" s="8" t="s">
        <v>47</v>
      </c>
      <c r="D151" s="7" t="s">
        <v>30</v>
      </c>
      <c r="E151" s="7" t="s">
        <v>24</v>
      </c>
      <c r="F151" s="8" t="s">
        <v>300</v>
      </c>
      <c r="G151" s="8"/>
      <c r="H151" s="8"/>
      <c r="I151" s="8" t="s">
        <v>40</v>
      </c>
      <c r="J151" s="8" t="s">
        <v>36</v>
      </c>
    </row>
    <row r="152" spans="1:10" ht="15" customHeight="1" x14ac:dyDescent="0.35">
      <c r="A152" s="7" t="str">
        <f>IF(C152="","","T"&amp;TEXT(B152,"000")&amp;"I"&amp;TEXT(COUNTIF(B$2:B152,B152),"000"))</f>
        <v>T014I006</v>
      </c>
      <c r="B152" s="7">
        <v>14</v>
      </c>
      <c r="C152" s="8" t="s">
        <v>45</v>
      </c>
      <c r="D152" s="7" t="s">
        <v>30</v>
      </c>
      <c r="E152" s="7" t="s">
        <v>24</v>
      </c>
      <c r="F152" s="8" t="s">
        <v>301</v>
      </c>
      <c r="G152" s="8"/>
      <c r="H152" s="8"/>
      <c r="I152" s="8" t="s">
        <v>25</v>
      </c>
      <c r="J152" s="8" t="s">
        <v>36</v>
      </c>
    </row>
    <row r="153" spans="1:10" ht="15" customHeight="1" x14ac:dyDescent="0.35">
      <c r="A153" s="7" t="str">
        <f>IF(C153="","","T"&amp;TEXT(B153,"000")&amp;"I"&amp;TEXT(COUNTIF(B$2:B153,B153),"000"))</f>
        <v>T014I007</v>
      </c>
      <c r="B153" s="7">
        <v>14</v>
      </c>
      <c r="C153" s="8" t="s">
        <v>98</v>
      </c>
      <c r="D153" s="7" t="s">
        <v>30</v>
      </c>
      <c r="E153" s="7" t="s">
        <v>24</v>
      </c>
      <c r="F153" s="8" t="s">
        <v>302</v>
      </c>
      <c r="G153" s="8"/>
      <c r="H153" s="8"/>
      <c r="I153" s="8" t="s">
        <v>25</v>
      </c>
      <c r="J153" s="8" t="s">
        <v>36</v>
      </c>
    </row>
    <row r="154" spans="1:10" ht="15" customHeight="1" x14ac:dyDescent="0.35">
      <c r="A154" s="7" t="str">
        <f>IF(C154="","","T"&amp;TEXT(B154,"000")&amp;"I"&amp;TEXT(COUNTIF(B$2:B154,B154),"000"))</f>
        <v>T014I008</v>
      </c>
      <c r="B154" s="7">
        <v>14</v>
      </c>
      <c r="C154" s="8" t="s">
        <v>47</v>
      </c>
      <c r="D154" s="7" t="s">
        <v>27</v>
      </c>
      <c r="E154" s="7" t="s">
        <v>23</v>
      </c>
      <c r="F154" s="8" t="s">
        <v>303</v>
      </c>
      <c r="G154" s="8"/>
      <c r="H154" s="8"/>
      <c r="I154" s="8" t="s">
        <v>141</v>
      </c>
      <c r="J154" s="8" t="s">
        <v>36</v>
      </c>
    </row>
    <row r="155" spans="1:10" ht="15" customHeight="1" x14ac:dyDescent="0.35">
      <c r="A155" s="7" t="str">
        <f>IF(C155="","","T"&amp;TEXT(B155,"000")&amp;"I"&amp;TEXT(COUNTIF(B$2:B155,B155),"000"))</f>
        <v>T014I009</v>
      </c>
      <c r="B155" s="7">
        <v>14</v>
      </c>
      <c r="C155" s="8" t="s">
        <v>130</v>
      </c>
      <c r="D155" s="7" t="s">
        <v>42</v>
      </c>
      <c r="E155" s="7" t="s">
        <v>24</v>
      </c>
      <c r="F155" s="8" t="s">
        <v>304</v>
      </c>
      <c r="G155" s="8"/>
      <c r="H155" s="8"/>
      <c r="I155" s="8" t="s">
        <v>25</v>
      </c>
      <c r="J155" s="8" t="s">
        <v>36</v>
      </c>
    </row>
    <row r="156" spans="1:10" ht="15" customHeight="1" x14ac:dyDescent="0.35">
      <c r="A156" s="7" t="str">
        <f>IF(C156="","","T"&amp;TEXT(B156,"000")&amp;"I"&amp;TEXT(COUNTIF(B$2:B156,B156),"000"))</f>
        <v>T014I010</v>
      </c>
      <c r="B156" s="7">
        <v>14</v>
      </c>
      <c r="C156" s="8" t="s">
        <v>29</v>
      </c>
      <c r="D156" s="7" t="s">
        <v>42</v>
      </c>
      <c r="E156" s="7" t="s">
        <v>24</v>
      </c>
      <c r="F156" s="8" t="s">
        <v>305</v>
      </c>
      <c r="G156" s="8"/>
      <c r="H156" s="8"/>
      <c r="I156" s="8" t="s">
        <v>37</v>
      </c>
      <c r="J156" s="8" t="s">
        <v>26</v>
      </c>
    </row>
    <row r="157" spans="1:10" ht="15" customHeight="1" x14ac:dyDescent="0.35">
      <c r="A157" s="7" t="str">
        <f>IF(C157="","","T"&amp;TEXT(B157,"000")&amp;"I"&amp;TEXT(COUNTIF(B$2:B157,B157),"000"))</f>
        <v>T014I011</v>
      </c>
      <c r="B157" s="7">
        <v>14</v>
      </c>
      <c r="C157" s="8" t="s">
        <v>98</v>
      </c>
      <c r="D157" s="7" t="s">
        <v>27</v>
      </c>
      <c r="E157" s="7" t="s">
        <v>23</v>
      </c>
      <c r="F157" s="8" t="s">
        <v>306</v>
      </c>
      <c r="G157" s="8"/>
      <c r="H157" s="8"/>
      <c r="I157" s="8" t="s">
        <v>25</v>
      </c>
      <c r="J157" s="8" t="s">
        <v>26</v>
      </c>
    </row>
    <row r="158" spans="1:10" ht="15" customHeight="1" x14ac:dyDescent="0.35">
      <c r="A158" s="7" t="str">
        <f>IF(C158="","","T"&amp;TEXT(B158,"000")&amp;"I"&amp;TEXT(COUNTIF(B$2:B158,B158),"000"))</f>
        <v>T014I012</v>
      </c>
      <c r="B158" s="7">
        <v>14</v>
      </c>
      <c r="C158" s="8" t="s">
        <v>124</v>
      </c>
      <c r="D158" s="7" t="s">
        <v>30</v>
      </c>
      <c r="E158" s="7" t="s">
        <v>24</v>
      </c>
      <c r="F158" s="8" t="s">
        <v>307</v>
      </c>
      <c r="G158" s="8"/>
      <c r="H158" s="8"/>
      <c r="I158" s="8" t="s">
        <v>28</v>
      </c>
      <c r="J158" s="8" t="s">
        <v>26</v>
      </c>
    </row>
    <row r="159" spans="1:10" ht="15" customHeight="1" x14ac:dyDescent="0.35">
      <c r="A159" s="7" t="str">
        <f>IF(C159="","","T"&amp;TEXT(B159,"000")&amp;"I"&amp;TEXT(COUNTIF(B$2:B159,B159),"000"))</f>
        <v>T014I013</v>
      </c>
      <c r="B159" s="7">
        <v>14</v>
      </c>
      <c r="C159" s="8" t="s">
        <v>33</v>
      </c>
      <c r="D159" s="7" t="s">
        <v>30</v>
      </c>
      <c r="E159" s="7" t="s">
        <v>24</v>
      </c>
      <c r="F159" s="8" t="s">
        <v>308</v>
      </c>
      <c r="G159" s="8"/>
      <c r="H159" s="8" t="s">
        <v>159</v>
      </c>
      <c r="I159" s="8" t="s">
        <v>25</v>
      </c>
      <c r="J159" s="8" t="s">
        <v>35</v>
      </c>
    </row>
    <row r="160" spans="1:10" ht="15" customHeight="1" x14ac:dyDescent="0.35">
      <c r="A160" s="7" t="str">
        <f>IF(C160="","","T"&amp;TEXT(B160,"000")&amp;"I"&amp;TEXT(COUNTIF(B$2:B160,B160),"000"))</f>
        <v>T014I014</v>
      </c>
      <c r="B160" s="7">
        <v>14</v>
      </c>
      <c r="C160" s="8" t="s">
        <v>151</v>
      </c>
      <c r="D160" s="7" t="s">
        <v>23</v>
      </c>
      <c r="E160" s="7" t="s">
        <v>24</v>
      </c>
      <c r="F160" s="8" t="s">
        <v>309</v>
      </c>
      <c r="G160" s="8"/>
      <c r="H160" s="8" t="s">
        <v>193</v>
      </c>
      <c r="I160" s="8" t="s">
        <v>40</v>
      </c>
      <c r="J160" s="8" t="s">
        <v>35</v>
      </c>
    </row>
    <row r="161" spans="1:10" ht="15" customHeight="1" x14ac:dyDescent="0.35">
      <c r="A161" s="7" t="str">
        <f>IF(C161="","","T"&amp;TEXT(B161,"000")&amp;"I"&amp;TEXT(COUNTIF(B$2:B161,B161),"000"))</f>
        <v>T014I015</v>
      </c>
      <c r="B161" s="7">
        <v>14</v>
      </c>
      <c r="C161" s="8" t="s">
        <v>90</v>
      </c>
      <c r="D161" s="7" t="s">
        <v>23</v>
      </c>
      <c r="E161" s="7" t="s">
        <v>24</v>
      </c>
      <c r="F161" s="8" t="s">
        <v>173</v>
      </c>
      <c r="G161" s="8"/>
      <c r="H161" s="8" t="s">
        <v>193</v>
      </c>
      <c r="I161" s="8" t="s">
        <v>40</v>
      </c>
      <c r="J161" s="8" t="s">
        <v>35</v>
      </c>
    </row>
    <row r="162" spans="1:10" ht="15" customHeight="1" x14ac:dyDescent="0.35">
      <c r="A162" s="7" t="str">
        <f>IF(C162="","","T"&amp;TEXT(B162,"000")&amp;"I"&amp;TEXT(COUNTIF(B$2:B162,B162),"000"))</f>
        <v>T014I016</v>
      </c>
      <c r="B162" s="7">
        <v>14</v>
      </c>
      <c r="C162" s="8" t="s">
        <v>156</v>
      </c>
      <c r="D162" s="7" t="s">
        <v>30</v>
      </c>
      <c r="E162" s="7" t="s">
        <v>23</v>
      </c>
      <c r="F162" s="8" t="s">
        <v>310</v>
      </c>
      <c r="G162" s="8"/>
      <c r="H162" s="8" t="s">
        <v>259</v>
      </c>
      <c r="I162" s="8" t="s">
        <v>25</v>
      </c>
      <c r="J162" s="8" t="s">
        <v>35</v>
      </c>
    </row>
    <row r="163" spans="1:10" ht="15" customHeight="1" x14ac:dyDescent="0.35">
      <c r="A163" s="7" t="str">
        <f>IF(C163="","","T"&amp;TEXT(B163,"000")&amp;"I"&amp;TEXT(COUNTIF(B$2:B163,B163),"000"))</f>
        <v>T015I001</v>
      </c>
      <c r="B163" s="7">
        <v>15</v>
      </c>
      <c r="C163" s="8" t="s">
        <v>90</v>
      </c>
      <c r="D163" s="7" t="s">
        <v>23</v>
      </c>
      <c r="E163" s="7" t="s">
        <v>24</v>
      </c>
      <c r="F163" s="8" t="s">
        <v>311</v>
      </c>
      <c r="G163" s="8"/>
      <c r="H163" s="8"/>
      <c r="I163" s="8" t="s">
        <v>28</v>
      </c>
      <c r="J163" s="8" t="s">
        <v>36</v>
      </c>
    </row>
    <row r="164" spans="1:10" ht="15" customHeight="1" x14ac:dyDescent="0.35">
      <c r="A164" s="7" t="str">
        <f>IF(C164="","","T"&amp;TEXT(B164,"000")&amp;"I"&amp;TEXT(COUNTIF(B$2:B164,B164),"000"))</f>
        <v>T015I002</v>
      </c>
      <c r="B164" s="7">
        <v>15</v>
      </c>
      <c r="C164" s="8" t="s">
        <v>103</v>
      </c>
      <c r="D164" s="7" t="s">
        <v>32</v>
      </c>
      <c r="E164" s="7" t="s">
        <v>23</v>
      </c>
      <c r="F164" s="8" t="s">
        <v>312</v>
      </c>
      <c r="G164" s="8"/>
      <c r="H164" s="8"/>
      <c r="I164" s="8" t="s">
        <v>141</v>
      </c>
      <c r="J164" s="8" t="s">
        <v>36</v>
      </c>
    </row>
    <row r="165" spans="1:10" ht="15" customHeight="1" x14ac:dyDescent="0.35">
      <c r="A165" s="7" t="str">
        <f>IF(C165="","","T"&amp;TEXT(B165,"000")&amp;"I"&amp;TEXT(COUNTIF(B$2:B165,B165),"000"))</f>
        <v>T015I003</v>
      </c>
      <c r="B165" s="7">
        <v>15</v>
      </c>
      <c r="C165" s="8" t="s">
        <v>142</v>
      </c>
      <c r="D165" s="7" t="s">
        <v>30</v>
      </c>
      <c r="E165" s="7" t="s">
        <v>24</v>
      </c>
      <c r="F165" s="8" t="s">
        <v>313</v>
      </c>
      <c r="G165" s="8"/>
      <c r="H165" s="8"/>
      <c r="I165" s="8" t="s">
        <v>25</v>
      </c>
      <c r="J165" s="8" t="s">
        <v>36</v>
      </c>
    </row>
    <row r="166" spans="1:10" ht="15" customHeight="1" x14ac:dyDescent="0.35">
      <c r="A166" s="7" t="str">
        <f>IF(C166="","","T"&amp;TEXT(B166,"000")&amp;"I"&amp;TEXT(COUNTIF(B$2:B166,B166),"000"))</f>
        <v>T015I004</v>
      </c>
      <c r="B166" s="7">
        <v>15</v>
      </c>
      <c r="C166" s="8" t="s">
        <v>90</v>
      </c>
      <c r="D166" s="7" t="s">
        <v>30</v>
      </c>
      <c r="E166" s="7" t="s">
        <v>24</v>
      </c>
      <c r="F166" s="8" t="s">
        <v>314</v>
      </c>
      <c r="G166" s="8"/>
      <c r="H166" s="8"/>
      <c r="I166" s="8" t="s">
        <v>25</v>
      </c>
      <c r="J166" s="8" t="s">
        <v>36</v>
      </c>
    </row>
    <row r="167" spans="1:10" ht="15" customHeight="1" x14ac:dyDescent="0.35">
      <c r="A167" s="7" t="str">
        <f>IF(C167="","","T"&amp;TEXT(B167,"000")&amp;"I"&amp;TEXT(COUNTIF(B$2:B167,B167),"000"))</f>
        <v>T015I005</v>
      </c>
      <c r="B167" s="7">
        <v>15</v>
      </c>
      <c r="C167" s="8" t="s">
        <v>133</v>
      </c>
      <c r="D167" s="7" t="s">
        <v>27</v>
      </c>
      <c r="E167" s="7" t="s">
        <v>24</v>
      </c>
      <c r="F167" s="8" t="s">
        <v>315</v>
      </c>
      <c r="G167" s="8"/>
      <c r="H167" s="8"/>
      <c r="I167" s="8" t="s">
        <v>25</v>
      </c>
      <c r="J167" s="8" t="s">
        <v>36</v>
      </c>
    </row>
    <row r="168" spans="1:10" ht="15" customHeight="1" x14ac:dyDescent="0.35">
      <c r="A168" s="7" t="str">
        <f>IF(C168="","","T"&amp;TEXT(B168,"000")&amp;"I"&amp;TEXT(COUNTIF(B$2:B168,B168),"000"))</f>
        <v>T015I006</v>
      </c>
      <c r="B168" s="7">
        <v>15</v>
      </c>
      <c r="C168" s="8" t="s">
        <v>33</v>
      </c>
      <c r="D168" s="7" t="s">
        <v>168</v>
      </c>
      <c r="E168" s="7" t="s">
        <v>24</v>
      </c>
      <c r="F168" s="8" t="s">
        <v>316</v>
      </c>
      <c r="G168" s="8"/>
      <c r="H168" s="8"/>
      <c r="I168" s="8" t="s">
        <v>87</v>
      </c>
      <c r="J168" s="8" t="s">
        <v>36</v>
      </c>
    </row>
    <row r="169" spans="1:10" ht="15" customHeight="1" x14ac:dyDescent="0.35">
      <c r="A169" s="7" t="str">
        <f>IF(C169="","","T"&amp;TEXT(B169,"000")&amp;"I"&amp;TEXT(COUNTIF(B$2:B169,B169),"000"))</f>
        <v>T015I007</v>
      </c>
      <c r="B169" s="7">
        <v>15</v>
      </c>
      <c r="C169" s="8" t="s">
        <v>90</v>
      </c>
      <c r="D169" s="7" t="s">
        <v>42</v>
      </c>
      <c r="E169" s="7" t="s">
        <v>24</v>
      </c>
      <c r="F169" s="8" t="s">
        <v>317</v>
      </c>
      <c r="G169" s="8"/>
      <c r="H169" s="8"/>
      <c r="I169" s="8" t="s">
        <v>28</v>
      </c>
      <c r="J169" s="8" t="s">
        <v>26</v>
      </c>
    </row>
    <row r="170" spans="1:10" ht="15" customHeight="1" x14ac:dyDescent="0.35">
      <c r="A170" s="7" t="str">
        <f>IF(C170="","","T"&amp;TEXT(B170,"000")&amp;"I"&amp;TEXT(COUNTIF(B$2:B170,B170),"000"))</f>
        <v>T015I008</v>
      </c>
      <c r="B170" s="7">
        <v>15</v>
      </c>
      <c r="C170" s="8" t="s">
        <v>113</v>
      </c>
      <c r="D170" s="7" t="s">
        <v>23</v>
      </c>
      <c r="E170" s="7" t="s">
        <v>24</v>
      </c>
      <c r="F170" s="8" t="s">
        <v>318</v>
      </c>
      <c r="G170" s="8"/>
      <c r="H170" s="8" t="s">
        <v>193</v>
      </c>
      <c r="I170" s="8" t="s">
        <v>25</v>
      </c>
      <c r="J170" s="8" t="s">
        <v>35</v>
      </c>
    </row>
    <row r="171" spans="1:10" ht="15" customHeight="1" x14ac:dyDescent="0.35">
      <c r="A171" s="7" t="str">
        <f>IF(C171="","","T"&amp;TEXT(B171,"000")&amp;"I"&amp;TEXT(COUNTIF(B$2:B171,B171),"000"))</f>
        <v>T015I009</v>
      </c>
      <c r="B171" s="7">
        <v>15</v>
      </c>
      <c r="C171" s="8" t="s">
        <v>142</v>
      </c>
      <c r="D171" s="7" t="s">
        <v>23</v>
      </c>
      <c r="E171" s="7" t="s">
        <v>24</v>
      </c>
      <c r="F171" s="8" t="s">
        <v>319</v>
      </c>
      <c r="G171" s="8"/>
      <c r="H171" s="8"/>
      <c r="I171" s="8" t="s">
        <v>40</v>
      </c>
      <c r="J171" s="8" t="s">
        <v>35</v>
      </c>
    </row>
    <row r="172" spans="1:10" ht="15" customHeight="1" x14ac:dyDescent="0.35">
      <c r="A172" s="7" t="str">
        <f>IF(C172="","","T"&amp;TEXT(B172,"000")&amp;"I"&amp;TEXT(COUNTIF(B$2:B172,B172),"000"))</f>
        <v>T015I010</v>
      </c>
      <c r="B172" s="7">
        <v>15</v>
      </c>
      <c r="C172" s="8" t="s">
        <v>34</v>
      </c>
      <c r="D172" s="7" t="s">
        <v>23</v>
      </c>
      <c r="E172" s="7" t="s">
        <v>24</v>
      </c>
      <c r="F172" s="8" t="s">
        <v>320</v>
      </c>
      <c r="G172" s="8"/>
      <c r="H172" s="8" t="s">
        <v>245</v>
      </c>
      <c r="I172" s="8" t="s">
        <v>25</v>
      </c>
      <c r="J172" s="8" t="s">
        <v>35</v>
      </c>
    </row>
    <row r="173" spans="1:10" ht="15" customHeight="1" x14ac:dyDescent="0.35">
      <c r="A173" s="7" t="str">
        <f>IF(C173="","","T"&amp;TEXT(B173,"000")&amp;"I"&amp;TEXT(COUNTIF(B$2:B173,B173),"000"))</f>
        <v>T015I011</v>
      </c>
      <c r="B173" s="7">
        <v>15</v>
      </c>
      <c r="C173" s="8" t="s">
        <v>115</v>
      </c>
      <c r="D173" s="7" t="s">
        <v>23</v>
      </c>
      <c r="E173" s="7" t="s">
        <v>24</v>
      </c>
      <c r="F173" s="8" t="s">
        <v>321</v>
      </c>
      <c r="G173" s="8"/>
      <c r="H173" s="8" t="s">
        <v>159</v>
      </c>
      <c r="I173" s="8" t="s">
        <v>25</v>
      </c>
      <c r="J173" s="8" t="s">
        <v>35</v>
      </c>
    </row>
    <row r="174" spans="1:10" ht="15" customHeight="1" x14ac:dyDescent="0.35">
      <c r="A174" s="7" t="str">
        <f>IF(C174="","","T"&amp;TEXT(B174,"000")&amp;"I"&amp;TEXT(COUNTIF(B$2:B174,B174),"000"))</f>
        <v/>
      </c>
      <c r="B174" s="7"/>
      <c r="C174" s="8"/>
      <c r="D174" s="7"/>
      <c r="E174" s="7"/>
      <c r="F174" s="8"/>
      <c r="G174" s="8"/>
      <c r="H174" s="8"/>
      <c r="I174" s="8"/>
      <c r="J174" s="8"/>
    </row>
    <row r="175" spans="1:10" ht="15" customHeight="1" x14ac:dyDescent="0.35">
      <c r="A175" s="7" t="str">
        <f>IF(C175="","","T"&amp;TEXT(B175,"000")&amp;"I"&amp;TEXT(COUNTIF(B$2:B175,B175),"000"))</f>
        <v/>
      </c>
      <c r="B175" s="7"/>
      <c r="C175" s="8"/>
      <c r="D175" s="7"/>
      <c r="E175" s="7"/>
      <c r="F175" s="8"/>
      <c r="G175" s="8"/>
      <c r="H175" s="8"/>
      <c r="I175" s="8"/>
      <c r="J175" s="8"/>
    </row>
    <row r="176" spans="1:10" ht="15" customHeight="1" x14ac:dyDescent="0.35">
      <c r="A176" s="7" t="str">
        <f>IF(C176="","","T"&amp;TEXT(B176,"000")&amp;"I"&amp;TEXT(COUNTIF(B$2:B176,B176),"000"))</f>
        <v/>
      </c>
      <c r="B176" s="7"/>
      <c r="C176" s="8"/>
      <c r="D176" s="7"/>
      <c r="E176" s="7"/>
      <c r="F176" s="8"/>
      <c r="G176" s="8"/>
      <c r="H176" s="8"/>
      <c r="I176" s="8"/>
      <c r="J176" s="8"/>
    </row>
    <row r="177" spans="1:10" ht="15" customHeight="1" x14ac:dyDescent="0.35">
      <c r="A177" s="7" t="str">
        <f>IF(C177="","","T"&amp;TEXT(B177,"000")&amp;"I"&amp;TEXT(COUNTIF(B$2:B177,B177),"000"))</f>
        <v/>
      </c>
      <c r="B177" s="7"/>
      <c r="C177" s="8"/>
      <c r="D177" s="7"/>
      <c r="E177" s="7"/>
      <c r="F177" s="8"/>
      <c r="G177" s="8"/>
      <c r="H177" s="8"/>
      <c r="I177" s="8"/>
      <c r="J177" s="8"/>
    </row>
    <row r="178" spans="1:10" ht="15" customHeight="1" x14ac:dyDescent="0.35">
      <c r="A178" s="7" t="str">
        <f>IF(C178="","","T"&amp;TEXT(B178,"000")&amp;"I"&amp;TEXT(COUNTIF(B$2:B178,B178),"000"))</f>
        <v/>
      </c>
      <c r="B178" s="7"/>
      <c r="C178" s="8"/>
      <c r="D178" s="7"/>
      <c r="E178" s="7"/>
      <c r="F178" s="8"/>
      <c r="G178" s="8"/>
      <c r="H178" s="8"/>
      <c r="I178" s="8"/>
      <c r="J178" s="8"/>
    </row>
    <row r="179" spans="1:10" ht="15" customHeight="1" x14ac:dyDescent="0.35">
      <c r="A179" s="7" t="str">
        <f>IF(C179="","","T"&amp;TEXT(B179,"000")&amp;"I"&amp;TEXT(COUNTIF(B$2:B179,B179),"000"))</f>
        <v/>
      </c>
      <c r="B179" s="7"/>
      <c r="C179" s="8"/>
      <c r="D179" s="7"/>
      <c r="E179" s="7"/>
      <c r="F179" s="8"/>
      <c r="G179" s="8"/>
      <c r="H179" s="8"/>
      <c r="I179" s="8"/>
      <c r="J179" s="8"/>
    </row>
    <row r="180" spans="1:10" ht="15" customHeight="1" x14ac:dyDescent="0.35">
      <c r="A180" s="7" t="str">
        <f>IF(C180="","","T"&amp;TEXT(B180,"000")&amp;"I"&amp;TEXT(COUNTIF(B$2:B180,B180),"000"))</f>
        <v/>
      </c>
      <c r="B180" s="7"/>
      <c r="C180" s="8"/>
      <c r="D180" s="7"/>
      <c r="E180" s="7"/>
      <c r="F180" s="8"/>
      <c r="G180" s="8"/>
      <c r="H180" s="8"/>
      <c r="I180" s="8"/>
      <c r="J180" s="8"/>
    </row>
    <row r="181" spans="1:10" ht="15" customHeight="1" x14ac:dyDescent="0.35">
      <c r="A181" s="7" t="str">
        <f>IF(C181="","","T"&amp;TEXT(B181,"000")&amp;"I"&amp;TEXT(COUNTIF(B$2:B181,B181),"000"))</f>
        <v/>
      </c>
      <c r="B181" s="7"/>
      <c r="C181" s="8"/>
      <c r="D181" s="7"/>
      <c r="E181" s="7"/>
      <c r="F181" s="8"/>
      <c r="G181" s="8"/>
      <c r="H181" s="8"/>
      <c r="I181" s="8"/>
      <c r="J181" s="8"/>
    </row>
    <row r="182" spans="1:10" ht="15" customHeight="1" x14ac:dyDescent="0.35">
      <c r="A182" s="7" t="str">
        <f>IF(C182="","","T"&amp;TEXT(B182,"000")&amp;"I"&amp;TEXT(COUNTIF(B$2:B182,B182),"000"))</f>
        <v/>
      </c>
      <c r="B182" s="7"/>
      <c r="C182" s="8"/>
      <c r="D182" s="7"/>
      <c r="E182" s="7"/>
      <c r="F182" s="8"/>
      <c r="G182" s="8"/>
      <c r="H182" s="8"/>
      <c r="I182" s="8"/>
      <c r="J182" s="8"/>
    </row>
    <row r="183" spans="1:10" ht="15" customHeight="1" x14ac:dyDescent="0.35">
      <c r="A183" s="7" t="str">
        <f>IF(C183="","","T"&amp;TEXT(B183,"000")&amp;"I"&amp;TEXT(COUNTIF(B$2:B183,B183),"000"))</f>
        <v/>
      </c>
      <c r="B183" s="7"/>
      <c r="C183" s="8"/>
      <c r="D183" s="7"/>
      <c r="E183" s="7"/>
      <c r="F183" s="8"/>
      <c r="G183" s="8"/>
      <c r="H183" s="8"/>
      <c r="I183" s="8"/>
      <c r="J183" s="8"/>
    </row>
    <row r="184" spans="1:10" ht="15" customHeight="1" x14ac:dyDescent="0.35">
      <c r="A184" s="7" t="str">
        <f>IF(C184="","","T"&amp;TEXT(B184,"000")&amp;"I"&amp;TEXT(COUNTIF(B$2:B184,B184),"000"))</f>
        <v/>
      </c>
      <c r="B184" s="7"/>
      <c r="C184" s="8"/>
      <c r="D184" s="7"/>
      <c r="E184" s="7"/>
      <c r="F184" s="8"/>
      <c r="G184" s="8"/>
      <c r="H184" s="8"/>
      <c r="I184" s="8"/>
      <c r="J184" s="8"/>
    </row>
    <row r="185" spans="1:10" ht="15" customHeight="1" x14ac:dyDescent="0.35">
      <c r="A185" s="7" t="str">
        <f>IF(C185="","","T"&amp;TEXT(B185,"000")&amp;"I"&amp;TEXT(COUNTIF(B$2:B185,B185),"000"))</f>
        <v/>
      </c>
      <c r="B185" s="7"/>
      <c r="C185" s="8"/>
      <c r="D185" s="7"/>
      <c r="E185" s="7"/>
      <c r="F185" s="8"/>
      <c r="G185" s="8"/>
      <c r="H185" s="8"/>
      <c r="I185" s="8"/>
      <c r="J185" s="8"/>
    </row>
    <row r="186" spans="1:10" ht="15" customHeight="1" x14ac:dyDescent="0.35">
      <c r="A186" s="7" t="str">
        <f>IF(C186="","","T"&amp;TEXT(B186,"000")&amp;"I"&amp;TEXT(COUNTIF(B$2:B186,B186),"000"))</f>
        <v/>
      </c>
      <c r="B186" s="7"/>
      <c r="C186" s="8"/>
      <c r="D186" s="7"/>
      <c r="E186" s="7"/>
      <c r="F186" s="8"/>
      <c r="G186" s="8"/>
      <c r="H186" s="8"/>
      <c r="I186" s="8"/>
      <c r="J186" s="8"/>
    </row>
    <row r="187" spans="1:10" ht="15" customHeight="1" x14ac:dyDescent="0.35">
      <c r="A187" s="7" t="str">
        <f>IF(C187="","","T"&amp;TEXT(B187,"000")&amp;"I"&amp;TEXT(COUNTIF(B$2:B187,B187),"000"))</f>
        <v/>
      </c>
      <c r="B187" s="7"/>
      <c r="C187" s="8"/>
      <c r="D187" s="7"/>
      <c r="E187" s="7"/>
      <c r="F187" s="8"/>
      <c r="G187" s="8"/>
      <c r="H187" s="8"/>
      <c r="I187" s="8"/>
      <c r="J187" s="8"/>
    </row>
    <row r="188" spans="1:10" ht="15" customHeight="1" x14ac:dyDescent="0.35">
      <c r="A188" s="7" t="str">
        <f>IF(C188="","","T"&amp;TEXT(B188,"000")&amp;"I"&amp;TEXT(COUNTIF(B$2:B188,B188),"000"))</f>
        <v/>
      </c>
      <c r="B188" s="7"/>
      <c r="C188" s="8"/>
      <c r="D188" s="7"/>
      <c r="E188" s="7"/>
      <c r="F188" s="8"/>
      <c r="G188" s="8"/>
      <c r="H188" s="8"/>
      <c r="I188" s="8"/>
      <c r="J188" s="8"/>
    </row>
    <row r="189" spans="1:10" ht="15" customHeight="1" x14ac:dyDescent="0.35">
      <c r="A189" s="7" t="str">
        <f>IF(C189="","","T"&amp;TEXT(B189,"000")&amp;"I"&amp;TEXT(COUNTIF(B$2:B189,B189),"000"))</f>
        <v/>
      </c>
      <c r="B189" s="7"/>
      <c r="C189" s="8"/>
      <c r="D189" s="7"/>
      <c r="E189" s="7"/>
      <c r="F189" s="8"/>
      <c r="G189" s="8"/>
      <c r="H189" s="8"/>
      <c r="I189" s="8"/>
      <c r="J189" s="8"/>
    </row>
    <row r="190" spans="1:10" ht="15" customHeight="1" x14ac:dyDescent="0.35">
      <c r="A190" s="7" t="str">
        <f>IF(C190="","","T"&amp;TEXT(B190,"000")&amp;"I"&amp;TEXT(COUNTIF(B$2:B190,B190),"000"))</f>
        <v/>
      </c>
      <c r="B190" s="7"/>
      <c r="C190" s="8"/>
      <c r="D190" s="7"/>
      <c r="E190" s="7"/>
      <c r="F190" s="8"/>
      <c r="G190" s="8"/>
      <c r="H190" s="8"/>
      <c r="I190" s="8"/>
      <c r="J190" s="8"/>
    </row>
    <row r="191" spans="1:10" ht="15" customHeight="1" x14ac:dyDescent="0.35">
      <c r="A191" s="7" t="str">
        <f>IF(C191="","","T"&amp;TEXT(B191,"000")&amp;"I"&amp;TEXT(COUNTIF(B$2:B191,B191),"000"))</f>
        <v/>
      </c>
      <c r="B191" s="7"/>
      <c r="C191" s="8"/>
      <c r="D191" s="7"/>
      <c r="E191" s="7"/>
      <c r="F191" s="8"/>
      <c r="G191" s="8"/>
      <c r="H191" s="8"/>
      <c r="I191" s="8"/>
      <c r="J191" s="8"/>
    </row>
    <row r="192" spans="1:10" ht="15" customHeight="1" x14ac:dyDescent="0.35">
      <c r="A192" s="7" t="str">
        <f>IF(C192="","","T"&amp;TEXT(B192,"000")&amp;"I"&amp;TEXT(COUNTIF(B$2:B192,B192),"000"))</f>
        <v/>
      </c>
      <c r="B192" s="7"/>
      <c r="C192" s="8"/>
      <c r="D192" s="7"/>
      <c r="E192" s="7"/>
      <c r="F192" s="8"/>
      <c r="G192" s="8"/>
      <c r="H192" s="8"/>
      <c r="I192" s="8"/>
      <c r="J192" s="8"/>
    </row>
    <row r="193" spans="1:10" ht="15" customHeight="1" x14ac:dyDescent="0.35">
      <c r="A193" s="7" t="str">
        <f>IF(C193="","","T"&amp;TEXT(B193,"000")&amp;"I"&amp;TEXT(COUNTIF(B$2:B193,B193),"000"))</f>
        <v/>
      </c>
      <c r="B193" s="7"/>
      <c r="C193" s="8"/>
      <c r="D193" s="7"/>
      <c r="E193" s="7"/>
      <c r="F193" s="8"/>
      <c r="G193" s="8"/>
      <c r="H193" s="8"/>
      <c r="I193" s="8"/>
      <c r="J193" s="8"/>
    </row>
    <row r="194" spans="1:10" ht="15" customHeight="1" x14ac:dyDescent="0.35">
      <c r="A194" s="7" t="str">
        <f>IF(C194="","","T"&amp;TEXT(B194,"000")&amp;"I"&amp;TEXT(COUNTIF(B$2:B194,B194),"000"))</f>
        <v/>
      </c>
      <c r="B194" s="7"/>
      <c r="C194" s="8"/>
      <c r="D194" s="7"/>
      <c r="E194" s="7"/>
      <c r="F194" s="8"/>
      <c r="G194" s="8"/>
      <c r="H194" s="8"/>
      <c r="I194" s="8"/>
      <c r="J194" s="8"/>
    </row>
    <row r="195" spans="1:10" ht="15" customHeight="1" x14ac:dyDescent="0.35">
      <c r="A195" s="7" t="str">
        <f>IF(C195="","","T"&amp;TEXT(B195,"000")&amp;"I"&amp;TEXT(COUNTIF(B$2:B195,B195),"000"))</f>
        <v/>
      </c>
      <c r="B195" s="7"/>
      <c r="C195" s="8"/>
      <c r="D195" s="7"/>
      <c r="E195" s="7"/>
      <c r="F195" s="8"/>
      <c r="G195" s="8"/>
      <c r="H195" s="8"/>
      <c r="I195" s="8"/>
      <c r="J195" s="8"/>
    </row>
    <row r="196" spans="1:10" ht="15" customHeight="1" x14ac:dyDescent="0.35">
      <c r="A196" s="7" t="str">
        <f>IF(C196="","","T"&amp;TEXT(B196,"000")&amp;"I"&amp;TEXT(COUNTIF(B$2:B196,B196),"000"))</f>
        <v/>
      </c>
      <c r="B196" s="7"/>
      <c r="C196" s="8"/>
      <c r="D196" s="7"/>
      <c r="E196" s="7"/>
      <c r="F196" s="8"/>
      <c r="G196" s="8"/>
      <c r="H196" s="8"/>
      <c r="I196" s="8"/>
      <c r="J196" s="8"/>
    </row>
    <row r="197" spans="1:10" ht="15" customHeight="1" x14ac:dyDescent="0.35">
      <c r="A197" s="7" t="str">
        <f>IF(C197="","","T"&amp;TEXT(B197,"000")&amp;"I"&amp;TEXT(COUNTIF(B$2:B197,B197),"000"))</f>
        <v/>
      </c>
      <c r="B197" s="7"/>
      <c r="C197" s="8"/>
      <c r="D197" s="7"/>
      <c r="E197" s="7"/>
      <c r="F197" s="8"/>
      <c r="G197" s="8"/>
      <c r="H197" s="8"/>
      <c r="I197" s="8"/>
      <c r="J197" s="8"/>
    </row>
    <row r="198" spans="1:10" ht="15" customHeight="1" x14ac:dyDescent="0.35">
      <c r="A198" s="7" t="str">
        <f>IF(C198="","","T"&amp;TEXT(B198,"000")&amp;"I"&amp;TEXT(COUNTIF(B$2:B198,B198),"000"))</f>
        <v/>
      </c>
      <c r="B198" s="7"/>
      <c r="C198" s="8"/>
      <c r="D198" s="7"/>
      <c r="E198" s="7"/>
      <c r="F198" s="8"/>
      <c r="G198" s="8"/>
      <c r="H198" s="8"/>
      <c r="I198" s="8"/>
      <c r="J198" s="8"/>
    </row>
    <row r="199" spans="1:10" x14ac:dyDescent="0.35">
      <c r="A199" s="7" t="str">
        <f>IF(C199="","","T"&amp;TEXT(B199,"000")&amp;"I"&amp;TEXT(COUNTIF(B$2:B199,B199),"000"))</f>
        <v/>
      </c>
      <c r="B199" s="7"/>
      <c r="C199" s="8"/>
      <c r="D199" s="7"/>
      <c r="E199" s="7"/>
      <c r="F199" s="8"/>
      <c r="G199" s="8"/>
      <c r="H199" s="8"/>
      <c r="I199" s="8"/>
      <c r="J199" s="8"/>
    </row>
  </sheetData>
  <autoFilter ref="A1:J199" xr:uid="{00000000-0009-0000-0000-000001000000}"/>
  <dataValidations count="3">
    <dataValidation type="list" allowBlank="1" showInputMessage="1" showErrorMessage="1" sqref="E2:E199" xr:uid="{00000000-0002-0000-0100-000000000000}">
      <formula1>"F,M"</formula1>
      <formula2>0</formula2>
    </dataValidation>
    <dataValidation type="list" allowBlank="1" sqref="I2:I199" xr:uid="{00000000-0002-0000-0100-000001000000}">
      <formula1>"Tops,Bottoms,Dresses,Coats/Jackets,Jumpsuits/Rompers,Suits,Footwear,Swimwear,Nightwear,Underwear,Accessories"</formula1>
      <formula2>0</formula2>
    </dataValidation>
    <dataValidation type="list" allowBlank="1" sqref="J2:J199" xr:uid="{00000000-0002-0000-0100-000002000000}">
      <formula1>"Keep,Sell,Discard"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J201"/>
  <sheetViews>
    <sheetView zoomScale="77" zoomScaleNormal="100" workbookViewId="0">
      <pane ySplit="1" topLeftCell="A73" activePane="bottomLeft" state="frozen"/>
      <selection pane="bottomLeft" activeCell="J85" sqref="J85"/>
    </sheetView>
  </sheetViews>
  <sheetFormatPr defaultColWidth="8.453125" defaultRowHeight="14.5" x14ac:dyDescent="0.35"/>
  <cols>
    <col min="1" max="1" width="11" customWidth="1"/>
    <col min="2" max="2" width="14" customWidth="1"/>
    <col min="3" max="3" width="13" customWidth="1"/>
    <col min="4" max="4" width="14" customWidth="1"/>
    <col min="5" max="6" width="18" customWidth="1"/>
    <col min="7" max="7" width="14" customWidth="1"/>
    <col min="8" max="8" width="14.54296875" bestFit="1" customWidth="1"/>
    <col min="9" max="9" width="14.7265625" bestFit="1" customWidth="1"/>
  </cols>
  <sheetData>
    <row r="1" spans="1:10" ht="27.75" customHeight="1" x14ac:dyDescent="0.35">
      <c r="A1" s="16" t="s">
        <v>48</v>
      </c>
      <c r="B1" s="16" t="s">
        <v>13</v>
      </c>
      <c r="C1" s="16" t="s">
        <v>49</v>
      </c>
      <c r="D1" s="16" t="s">
        <v>50</v>
      </c>
      <c r="E1" s="16" t="s">
        <v>51</v>
      </c>
      <c r="F1" s="16" t="s">
        <v>19</v>
      </c>
      <c r="G1" s="16" t="s">
        <v>52</v>
      </c>
      <c r="H1" s="17" t="s">
        <v>134</v>
      </c>
      <c r="I1" s="17" t="s">
        <v>135</v>
      </c>
      <c r="J1" s="17" t="s">
        <v>136</v>
      </c>
    </row>
    <row r="2" spans="1:10" ht="15" customHeight="1" x14ac:dyDescent="0.35">
      <c r="A2" s="9">
        <f t="shared" ref="A2:A33" si="0">IF(B2="","",ROW()-1)</f>
        <v>1</v>
      </c>
      <c r="B2" s="7" t="s">
        <v>322</v>
      </c>
      <c r="C2" s="10">
        <v>45939</v>
      </c>
      <c r="D2" s="11">
        <v>17</v>
      </c>
      <c r="E2" s="8" t="s">
        <v>126</v>
      </c>
      <c r="F2" s="8" t="s">
        <v>323</v>
      </c>
      <c r="G2" s="7" t="s">
        <v>23</v>
      </c>
      <c r="H2" s="12" t="str">
        <f>IF(B2="","",VLOOKUP(B2,Items!A:I,3,FALSE))</f>
        <v>Levi's</v>
      </c>
      <c r="I2" s="12" t="str">
        <f>IF(B2="","",VLOOKUP(B2,Items!A:I,9,FALSE))</f>
        <v>Jumpsuits/Rompers</v>
      </c>
      <c r="J2" s="12" t="str">
        <f>IF(B2="","",TEXT(C2,"MM/DD/YYYY")&amp;H2&amp;I2)</f>
        <v>10/09/2025Levi'sJumpsuits/Rompers</v>
      </c>
    </row>
    <row r="3" spans="1:10" ht="15" customHeight="1" x14ac:dyDescent="0.35">
      <c r="A3" s="9">
        <f t="shared" si="0"/>
        <v>2</v>
      </c>
      <c r="B3" s="7" t="s">
        <v>324</v>
      </c>
      <c r="C3" s="10">
        <v>45939</v>
      </c>
      <c r="D3" s="11">
        <v>30</v>
      </c>
      <c r="E3" s="8" t="s">
        <v>325</v>
      </c>
      <c r="F3" s="8"/>
      <c r="G3" s="7" t="s">
        <v>30</v>
      </c>
      <c r="H3" s="12" t="str">
        <f>IF(B3="","",VLOOKUP(B3,Items!A:I,3,FALSE))</f>
        <v>Levi's</v>
      </c>
      <c r="I3" s="12" t="str">
        <f>IF(B3="","",VLOOKUP(B3,Items!A:I,9,FALSE))</f>
        <v>Footwear</v>
      </c>
      <c r="J3" s="12" t="str">
        <f t="shared" ref="J3:J66" si="1">IF(B3="","",TEXT(C3,"MM/DD/YYYY")&amp;H3&amp;I3)</f>
        <v>10/09/2025Levi'sFootwear</v>
      </c>
    </row>
    <row r="4" spans="1:10" ht="15" customHeight="1" x14ac:dyDescent="0.35">
      <c r="A4" s="9">
        <f t="shared" si="0"/>
        <v>3</v>
      </c>
      <c r="B4" s="7" t="s">
        <v>326</v>
      </c>
      <c r="C4" s="10">
        <v>45941</v>
      </c>
      <c r="D4" s="11">
        <v>29</v>
      </c>
      <c r="E4" s="8" t="s">
        <v>126</v>
      </c>
      <c r="F4" s="8"/>
      <c r="G4" s="7" t="s">
        <v>23</v>
      </c>
      <c r="H4" s="12" t="str">
        <f>IF(B4="","",VLOOKUP(B4,Items!A:I,3,FALSE))</f>
        <v>Deb</v>
      </c>
      <c r="I4" s="12" t="str">
        <f>IF(B4="","",VLOOKUP(B4,Items!A:I,9,FALSE))</f>
        <v>Bottoms</v>
      </c>
      <c r="J4" s="12" t="str">
        <f t="shared" si="1"/>
        <v>10/11/2025DebBottoms</v>
      </c>
    </row>
    <row r="5" spans="1:10" ht="15" customHeight="1" x14ac:dyDescent="0.35">
      <c r="A5" s="9">
        <f t="shared" si="0"/>
        <v>4</v>
      </c>
      <c r="B5" s="7" t="s">
        <v>327</v>
      </c>
      <c r="C5" s="10">
        <v>45942</v>
      </c>
      <c r="D5" s="11">
        <v>20</v>
      </c>
      <c r="E5" s="8" t="s">
        <v>126</v>
      </c>
      <c r="F5" s="8"/>
      <c r="G5" s="7" t="s">
        <v>32</v>
      </c>
      <c r="H5" s="12" t="str">
        <f>IF(B5="","",VLOOKUP(B5,Items!A:I,3,FALSE))</f>
        <v>J.Crew</v>
      </c>
      <c r="I5" s="12" t="str">
        <f>IF(B5="","",VLOOKUP(B5,Items!A:I,9,FALSE))</f>
        <v>Accessories</v>
      </c>
      <c r="J5" s="12" t="str">
        <f t="shared" si="1"/>
        <v>10/12/2025J.CrewAccessories</v>
      </c>
    </row>
    <row r="6" spans="1:10" ht="15" customHeight="1" x14ac:dyDescent="0.35">
      <c r="A6" s="9">
        <f t="shared" si="0"/>
        <v>5</v>
      </c>
      <c r="B6" s="7" t="s">
        <v>328</v>
      </c>
      <c r="C6" s="10">
        <v>45943</v>
      </c>
      <c r="D6" s="11">
        <v>20</v>
      </c>
      <c r="E6" s="8" t="s">
        <v>126</v>
      </c>
      <c r="F6" s="8" t="s">
        <v>323</v>
      </c>
      <c r="G6" s="7" t="s">
        <v>30</v>
      </c>
      <c r="H6" s="12" t="str">
        <f>IF(B6="","",VLOOKUP(B6,Items!A:I,3,FALSE))</f>
        <v>H&amp;M</v>
      </c>
      <c r="I6" s="12" t="str">
        <f>IF(B6="","",VLOOKUP(B6,Items!A:I,9,FALSE))</f>
        <v>Tops</v>
      </c>
      <c r="J6" s="12" t="str">
        <f t="shared" si="1"/>
        <v>10/13/2025H&amp;MTops</v>
      </c>
    </row>
    <row r="7" spans="1:10" ht="15" customHeight="1" x14ac:dyDescent="0.35">
      <c r="A7" s="9">
        <f t="shared" si="0"/>
        <v>6</v>
      </c>
      <c r="B7" s="7" t="s">
        <v>329</v>
      </c>
      <c r="C7" s="10">
        <v>45944</v>
      </c>
      <c r="D7" s="11">
        <v>18</v>
      </c>
      <c r="E7" s="8" t="s">
        <v>126</v>
      </c>
      <c r="F7" s="8" t="s">
        <v>330</v>
      </c>
      <c r="G7" s="7" t="s">
        <v>23</v>
      </c>
      <c r="H7" s="12" t="str">
        <f>IF(B7="","",VLOOKUP(B7,Items!A:I,3,FALSE))</f>
        <v>Express</v>
      </c>
      <c r="I7" s="12" t="str">
        <f>IF(B7="","",VLOOKUP(B7,Items!A:I,9,FALSE))</f>
        <v>Bottoms</v>
      </c>
      <c r="J7" s="12" t="str">
        <f t="shared" si="1"/>
        <v>10/14/2025ExpressBottoms</v>
      </c>
    </row>
    <row r="8" spans="1:10" ht="15" customHeight="1" x14ac:dyDescent="0.35">
      <c r="A8" s="9">
        <f t="shared" si="0"/>
        <v>7</v>
      </c>
      <c r="B8" s="7" t="s">
        <v>331</v>
      </c>
      <c r="C8" s="10">
        <v>45947</v>
      </c>
      <c r="D8" s="11">
        <v>14</v>
      </c>
      <c r="E8" s="8" t="s">
        <v>54</v>
      </c>
      <c r="F8" s="8" t="s">
        <v>332</v>
      </c>
      <c r="G8" s="7" t="s">
        <v>30</v>
      </c>
      <c r="H8" s="12" t="str">
        <f>IF(B8="","",VLOOKUP(B8,Items!A:I,3,FALSE))</f>
        <v>LOFT</v>
      </c>
      <c r="I8" s="12" t="str">
        <f>IF(B8="","",VLOOKUP(B8,Items!A:I,9,FALSE))</f>
        <v>Tops</v>
      </c>
      <c r="J8" s="12" t="str">
        <f t="shared" si="1"/>
        <v>10/17/2025LOFTTops</v>
      </c>
    </row>
    <row r="9" spans="1:10" ht="15" customHeight="1" x14ac:dyDescent="0.35">
      <c r="A9" s="9">
        <f t="shared" si="0"/>
        <v>8</v>
      </c>
      <c r="B9" s="7" t="s">
        <v>333</v>
      </c>
      <c r="C9" s="10">
        <v>45949</v>
      </c>
      <c r="D9" s="11">
        <v>24</v>
      </c>
      <c r="E9" s="8" t="s">
        <v>54</v>
      </c>
      <c r="F9" s="8"/>
      <c r="G9" s="7" t="s">
        <v>32</v>
      </c>
      <c r="H9" s="12" t="str">
        <f>IF(B9="","",VLOOKUP(B9,Items!A:I,3,FALSE))</f>
        <v>BKE</v>
      </c>
      <c r="I9" s="12" t="str">
        <f>IF(B9="","",VLOOKUP(B9,Items!A:I,9,FALSE))</f>
        <v>Tops</v>
      </c>
      <c r="J9" s="12" t="str">
        <f t="shared" si="1"/>
        <v>10/19/2025BKETops</v>
      </c>
    </row>
    <row r="10" spans="1:10" ht="15" customHeight="1" x14ac:dyDescent="0.35">
      <c r="A10" s="9">
        <f t="shared" si="0"/>
        <v>9</v>
      </c>
      <c r="B10" s="7" t="s">
        <v>334</v>
      </c>
      <c r="C10" s="10">
        <v>45950</v>
      </c>
      <c r="D10" s="11">
        <v>23</v>
      </c>
      <c r="E10" s="8" t="s">
        <v>54</v>
      </c>
      <c r="F10" s="8"/>
      <c r="G10" s="7" t="s">
        <v>27</v>
      </c>
      <c r="H10" s="12" t="str">
        <f>IF(B10="","",VLOOKUP(B10,Items!A:I,3,FALSE))</f>
        <v>Patagonia</v>
      </c>
      <c r="I10" s="12" t="str">
        <f>IF(B10="","",VLOOKUP(B10,Items!A:I,9,FALSE))</f>
        <v>Dresses</v>
      </c>
      <c r="J10" s="12" t="str">
        <f t="shared" si="1"/>
        <v>10/20/2025PatagoniaDresses</v>
      </c>
    </row>
    <row r="11" spans="1:10" ht="15" customHeight="1" x14ac:dyDescent="0.35">
      <c r="A11" s="9">
        <f t="shared" si="0"/>
        <v>10</v>
      </c>
      <c r="B11" s="7" t="s">
        <v>335</v>
      </c>
      <c r="C11" s="10">
        <v>45951</v>
      </c>
      <c r="D11" s="11">
        <v>14</v>
      </c>
      <c r="E11" s="8" t="s">
        <v>54</v>
      </c>
      <c r="F11" s="8" t="s">
        <v>332</v>
      </c>
      <c r="G11" s="7" t="s">
        <v>23</v>
      </c>
      <c r="H11" s="12" t="str">
        <f>IF(B11="","",VLOOKUP(B11,Items!A:I,3,FALSE))</f>
        <v>Zara</v>
      </c>
      <c r="I11" s="12" t="str">
        <f>IF(B11="","",VLOOKUP(B11,Items!A:I,9,FALSE))</f>
        <v>Bottoms</v>
      </c>
      <c r="J11" s="12" t="str">
        <f t="shared" si="1"/>
        <v>10/21/2025ZaraBottoms</v>
      </c>
    </row>
    <row r="12" spans="1:10" ht="15" customHeight="1" x14ac:dyDescent="0.35">
      <c r="A12" s="9">
        <f t="shared" si="0"/>
        <v>11</v>
      </c>
      <c r="B12" s="7" t="s">
        <v>336</v>
      </c>
      <c r="C12" s="10">
        <v>45955</v>
      </c>
      <c r="D12" s="11">
        <v>13</v>
      </c>
      <c r="E12" s="8" t="s">
        <v>54</v>
      </c>
      <c r="F12" s="8"/>
      <c r="G12" s="7" t="s">
        <v>30</v>
      </c>
      <c r="H12" s="12" t="str">
        <f>IF(B12="","",VLOOKUP(B12,Items!A:I,3,FALSE))</f>
        <v>Other</v>
      </c>
      <c r="I12" s="12" t="str">
        <f>IF(B12="","",VLOOKUP(B12,Items!A:I,9,FALSE))</f>
        <v>Tops</v>
      </c>
      <c r="J12" s="12" t="str">
        <f t="shared" si="1"/>
        <v>10/25/2025OtherTops</v>
      </c>
    </row>
    <row r="13" spans="1:10" ht="15" customHeight="1" x14ac:dyDescent="0.35">
      <c r="A13" s="9">
        <f t="shared" si="0"/>
        <v>12</v>
      </c>
      <c r="B13" s="7" t="s">
        <v>337</v>
      </c>
      <c r="C13" s="10">
        <v>45957</v>
      </c>
      <c r="D13" s="11">
        <v>8</v>
      </c>
      <c r="E13" s="8" t="s">
        <v>126</v>
      </c>
      <c r="F13" s="8"/>
      <c r="G13" s="7" t="s">
        <v>125</v>
      </c>
      <c r="H13" s="12" t="str">
        <f>IF(B13="","",VLOOKUP(B13,Items!A:I,3,FALSE))</f>
        <v>Nike</v>
      </c>
      <c r="I13" s="12" t="str">
        <f>IF(B13="","",VLOOKUP(B13,Items!A:I,9,FALSE))</f>
        <v>Accessories</v>
      </c>
      <c r="J13" s="12" t="str">
        <f t="shared" si="1"/>
        <v>10/27/2025NikeAccessories</v>
      </c>
    </row>
    <row r="14" spans="1:10" ht="15" customHeight="1" x14ac:dyDescent="0.35">
      <c r="A14" s="9">
        <f t="shared" si="0"/>
        <v>13</v>
      </c>
      <c r="B14" s="7" t="s">
        <v>338</v>
      </c>
      <c r="C14" s="10">
        <v>45961</v>
      </c>
      <c r="D14" s="11">
        <v>40</v>
      </c>
      <c r="E14" s="8" t="s">
        <v>54</v>
      </c>
      <c r="F14" s="8"/>
      <c r="G14" s="7" t="s">
        <v>23</v>
      </c>
      <c r="H14" s="12" t="str">
        <f>IF(B14="","",VLOOKUP(B14,Items!A:I,3,FALSE))</f>
        <v>Gap</v>
      </c>
      <c r="I14" s="12" t="str">
        <f>IF(B14="","",VLOOKUP(B14,Items!A:I,9,FALSE))</f>
        <v>Dresses</v>
      </c>
      <c r="J14" s="12" t="str">
        <f t="shared" si="1"/>
        <v>10/31/2025GapDresses</v>
      </c>
    </row>
    <row r="15" spans="1:10" ht="15" customHeight="1" x14ac:dyDescent="0.35">
      <c r="A15" s="9">
        <f t="shared" si="0"/>
        <v>14</v>
      </c>
      <c r="B15" s="7" t="s">
        <v>339</v>
      </c>
      <c r="C15" s="10">
        <v>45961</v>
      </c>
      <c r="D15" s="11">
        <v>25</v>
      </c>
      <c r="E15" s="8" t="s">
        <v>126</v>
      </c>
      <c r="F15" s="8" t="s">
        <v>330</v>
      </c>
      <c r="G15" s="7" t="s">
        <v>30</v>
      </c>
      <c r="H15" s="12" t="str">
        <f>IF(B15="","",VLOOKUP(B15,Items!A:I,3,FALSE))</f>
        <v>J.Crew</v>
      </c>
      <c r="I15" s="12" t="str">
        <f>IF(B15="","",VLOOKUP(B15,Items!A:I,9,FALSE))</f>
        <v>Dresses</v>
      </c>
      <c r="J15" s="12" t="str">
        <f t="shared" si="1"/>
        <v>10/31/2025J.CrewDresses</v>
      </c>
    </row>
    <row r="16" spans="1:10" ht="15" customHeight="1" x14ac:dyDescent="0.35">
      <c r="A16" s="9">
        <f t="shared" si="0"/>
        <v>15</v>
      </c>
      <c r="B16" s="7" t="s">
        <v>128</v>
      </c>
      <c r="C16" s="10">
        <v>45962</v>
      </c>
      <c r="D16" s="11">
        <v>28</v>
      </c>
      <c r="E16" s="8" t="s">
        <v>127</v>
      </c>
      <c r="F16" s="8" t="s">
        <v>340</v>
      </c>
      <c r="G16" s="7" t="s">
        <v>23</v>
      </c>
      <c r="H16" s="12" t="str">
        <f>IF(B16="","",VLOOKUP(B16,Items!A:I,3,FALSE))</f>
        <v>SO Clothing</v>
      </c>
      <c r="I16" s="12" t="str">
        <f>IF(B16="","",VLOOKUP(B16,Items!A:I,9,FALSE))</f>
        <v>Dresses</v>
      </c>
      <c r="J16" s="12" t="str">
        <f t="shared" si="1"/>
        <v>11/01/2025SO ClothingDresses</v>
      </c>
    </row>
    <row r="17" spans="1:10" ht="15" customHeight="1" x14ac:dyDescent="0.35">
      <c r="A17" s="9">
        <f t="shared" si="0"/>
        <v>16</v>
      </c>
      <c r="B17" s="7" t="s">
        <v>341</v>
      </c>
      <c r="C17" s="10">
        <v>45962</v>
      </c>
      <c r="D17" s="11">
        <v>12</v>
      </c>
      <c r="E17" s="8" t="s">
        <v>325</v>
      </c>
      <c r="F17" s="8"/>
      <c r="G17" s="7" t="s">
        <v>23</v>
      </c>
      <c r="H17" s="12" t="str">
        <f>IF(B17="","",VLOOKUP(B17,Items!A:I,3,FALSE))</f>
        <v>Apt. 9</v>
      </c>
      <c r="I17" s="12" t="str">
        <f>IF(B17="","",VLOOKUP(B17,Items!A:I,9,FALSE))</f>
        <v>Jumpsuits/Rompers</v>
      </c>
      <c r="J17" s="12" t="str">
        <f t="shared" si="1"/>
        <v>11/01/2025Apt. 9Jumpsuits/Rompers</v>
      </c>
    </row>
    <row r="18" spans="1:10" ht="15" customHeight="1" x14ac:dyDescent="0.35">
      <c r="A18" s="9">
        <f t="shared" si="0"/>
        <v>17</v>
      </c>
      <c r="B18" s="7" t="s">
        <v>342</v>
      </c>
      <c r="C18" s="10">
        <v>45963</v>
      </c>
      <c r="D18" s="11">
        <v>5</v>
      </c>
      <c r="E18" s="8" t="s">
        <v>325</v>
      </c>
      <c r="F18" s="8"/>
      <c r="G18" s="7" t="s">
        <v>30</v>
      </c>
      <c r="H18" s="12" t="str">
        <f>IF(B18="","",VLOOKUP(B18,Items!A:I,3,FALSE))</f>
        <v>Adidas</v>
      </c>
      <c r="I18" s="12" t="str">
        <f>IF(B18="","",VLOOKUP(B18,Items!A:I,9,FALSE))</f>
        <v>Tops</v>
      </c>
      <c r="J18" s="12" t="str">
        <f t="shared" si="1"/>
        <v>11/02/2025AdidasTops</v>
      </c>
    </row>
    <row r="19" spans="1:10" ht="15" customHeight="1" x14ac:dyDescent="0.35">
      <c r="A19" s="9">
        <f t="shared" si="0"/>
        <v>18</v>
      </c>
      <c r="B19" s="7" t="s">
        <v>343</v>
      </c>
      <c r="C19" s="10">
        <v>45965</v>
      </c>
      <c r="D19" s="11">
        <v>26</v>
      </c>
      <c r="E19" s="8" t="s">
        <v>325</v>
      </c>
      <c r="F19" s="8"/>
      <c r="G19" s="7" t="s">
        <v>23</v>
      </c>
      <c r="H19" s="12" t="str">
        <f>IF(B19="","",VLOOKUP(B19,Items!A:I,3,FALSE))</f>
        <v>Levi's</v>
      </c>
      <c r="I19" s="12" t="str">
        <f>IF(B19="","",VLOOKUP(B19,Items!A:I,9,FALSE))</f>
        <v>Dresses</v>
      </c>
      <c r="J19" s="12" t="str">
        <f t="shared" si="1"/>
        <v>11/04/2025Levi'sDresses</v>
      </c>
    </row>
    <row r="20" spans="1:10" ht="15" customHeight="1" x14ac:dyDescent="0.35">
      <c r="A20" s="9">
        <f t="shared" si="0"/>
        <v>19</v>
      </c>
      <c r="B20" s="7" t="s">
        <v>344</v>
      </c>
      <c r="C20" s="10">
        <v>45966</v>
      </c>
      <c r="D20" s="11">
        <v>12</v>
      </c>
      <c r="E20" s="8" t="s">
        <v>54</v>
      </c>
      <c r="F20" s="8"/>
      <c r="G20" s="7" t="s">
        <v>23</v>
      </c>
      <c r="H20" s="12" t="str">
        <f>IF(B20="","",VLOOKUP(B20,Items!A:I,3,FALSE))</f>
        <v>Hollister</v>
      </c>
      <c r="I20" s="12" t="str">
        <f>IF(B20="","",VLOOKUP(B20,Items!A:I,9,FALSE))</f>
        <v>Footwear</v>
      </c>
      <c r="J20" s="12" t="str">
        <f t="shared" si="1"/>
        <v>11/05/2025HollisterFootwear</v>
      </c>
    </row>
    <row r="21" spans="1:10" ht="15" customHeight="1" x14ac:dyDescent="0.35">
      <c r="A21" s="9">
        <f t="shared" si="0"/>
        <v>20</v>
      </c>
      <c r="B21" s="7" t="s">
        <v>345</v>
      </c>
      <c r="C21" s="10">
        <v>45966</v>
      </c>
      <c r="D21" s="11">
        <v>19</v>
      </c>
      <c r="E21" s="8" t="s">
        <v>126</v>
      </c>
      <c r="F21" s="8" t="s">
        <v>323</v>
      </c>
      <c r="G21" s="7" t="s">
        <v>30</v>
      </c>
      <c r="H21" s="12" t="str">
        <f>IF(B21="","",VLOOKUP(B21,Items!A:I,3,FALSE))</f>
        <v>Victoria's Secret</v>
      </c>
      <c r="I21" s="12" t="str">
        <f>IF(B21="","",VLOOKUP(B21,Items!A:I,9,FALSE))</f>
        <v>Tops</v>
      </c>
      <c r="J21" s="12" t="str">
        <f t="shared" si="1"/>
        <v>11/05/2025Victoria's SecretTops</v>
      </c>
    </row>
    <row r="22" spans="1:10" ht="15" customHeight="1" x14ac:dyDescent="0.35">
      <c r="A22" s="9">
        <f t="shared" si="0"/>
        <v>21</v>
      </c>
      <c r="B22" s="7" t="s">
        <v>346</v>
      </c>
      <c r="C22" s="10">
        <v>45970</v>
      </c>
      <c r="D22" s="11">
        <v>20</v>
      </c>
      <c r="E22" s="8" t="s">
        <v>54</v>
      </c>
      <c r="F22" s="8" t="s">
        <v>332</v>
      </c>
      <c r="G22" s="7" t="s">
        <v>23</v>
      </c>
      <c r="H22" s="12" t="str">
        <f>IF(B22="","",VLOOKUP(B22,Items!A:I,3,FALSE))</f>
        <v>Free People</v>
      </c>
      <c r="I22" s="12" t="str">
        <f>IF(B22="","",VLOOKUP(B22,Items!A:I,9,FALSE))</f>
        <v>Tops</v>
      </c>
      <c r="J22" s="12" t="str">
        <f t="shared" si="1"/>
        <v>11/09/2025Free PeopleTops</v>
      </c>
    </row>
    <row r="23" spans="1:10" ht="15" customHeight="1" x14ac:dyDescent="0.35">
      <c r="A23" s="9">
        <f t="shared" si="0"/>
        <v>22</v>
      </c>
      <c r="B23" s="7" t="s">
        <v>347</v>
      </c>
      <c r="C23" s="10">
        <v>45971</v>
      </c>
      <c r="D23" s="11">
        <v>22</v>
      </c>
      <c r="E23" s="8" t="s">
        <v>126</v>
      </c>
      <c r="F23" s="8" t="s">
        <v>348</v>
      </c>
      <c r="G23" s="7" t="s">
        <v>30</v>
      </c>
      <c r="H23" s="12" t="str">
        <f>IF(B23="","",VLOOKUP(B23,Items!A:I,3,FALSE))</f>
        <v>SO Clothing</v>
      </c>
      <c r="I23" s="12" t="str">
        <f>IF(B23="","",VLOOKUP(B23,Items!A:I,9,FALSE))</f>
        <v>Bottoms</v>
      </c>
      <c r="J23" s="12" t="str">
        <f t="shared" si="1"/>
        <v>11/10/2025SO ClothingBottoms</v>
      </c>
    </row>
    <row r="24" spans="1:10" ht="15" customHeight="1" x14ac:dyDescent="0.35">
      <c r="A24" s="9">
        <f t="shared" si="0"/>
        <v>23</v>
      </c>
      <c r="B24" s="7" t="s">
        <v>349</v>
      </c>
      <c r="C24" s="10">
        <v>45978</v>
      </c>
      <c r="D24" s="11">
        <v>35</v>
      </c>
      <c r="E24" s="8" t="s">
        <v>126</v>
      </c>
      <c r="F24" s="8" t="s">
        <v>330</v>
      </c>
      <c r="G24" s="7" t="s">
        <v>30</v>
      </c>
      <c r="H24" s="12" t="str">
        <f>IF(B24="","",VLOOKUP(B24,Items!A:I,3,FALSE))</f>
        <v>Forever 21</v>
      </c>
      <c r="I24" s="12" t="str">
        <f>IF(B24="","",VLOOKUP(B24,Items!A:I,9,FALSE))</f>
        <v>Dresses</v>
      </c>
      <c r="J24" s="12" t="str">
        <f t="shared" si="1"/>
        <v>11/17/2025Forever 21Dresses</v>
      </c>
    </row>
    <row r="25" spans="1:10" ht="15" customHeight="1" x14ac:dyDescent="0.35">
      <c r="A25" s="9">
        <f t="shared" si="0"/>
        <v>24</v>
      </c>
      <c r="B25" s="7" t="s">
        <v>350</v>
      </c>
      <c r="C25" s="10">
        <v>45989</v>
      </c>
      <c r="D25" s="11">
        <v>32</v>
      </c>
      <c r="E25" s="8" t="s">
        <v>54</v>
      </c>
      <c r="F25" s="8"/>
      <c r="G25" s="7" t="s">
        <v>23</v>
      </c>
      <c r="H25" s="12" t="str">
        <f>IF(B25="","",VLOOKUP(B25,Items!A:I,3,FALSE))</f>
        <v>Other</v>
      </c>
      <c r="I25" s="12" t="str">
        <f>IF(B25="","",VLOOKUP(B25,Items!A:I,9,FALSE))</f>
        <v>Dresses</v>
      </c>
      <c r="J25" s="12" t="str">
        <f t="shared" si="1"/>
        <v>11/28/2025OtherDresses</v>
      </c>
    </row>
    <row r="26" spans="1:10" ht="15" customHeight="1" x14ac:dyDescent="0.35">
      <c r="A26" s="9">
        <f t="shared" si="0"/>
        <v>25</v>
      </c>
      <c r="B26" s="7" t="s">
        <v>351</v>
      </c>
      <c r="C26" s="10">
        <v>45990</v>
      </c>
      <c r="D26" s="11">
        <v>30</v>
      </c>
      <c r="E26" s="8" t="s">
        <v>54</v>
      </c>
      <c r="F26" s="8" t="s">
        <v>352</v>
      </c>
      <c r="G26" s="7" t="s">
        <v>27</v>
      </c>
      <c r="H26" s="12" t="str">
        <f>IF(B26="","",VLOOKUP(B26,Items!A:I,3,FALSE))</f>
        <v>H&amp;M</v>
      </c>
      <c r="I26" s="12" t="str">
        <f>IF(B26="","",VLOOKUP(B26,Items!A:I,9,FALSE))</f>
        <v>Dresses</v>
      </c>
      <c r="J26" s="12" t="str">
        <f t="shared" si="1"/>
        <v>11/29/2025H&amp;MDresses</v>
      </c>
    </row>
    <row r="27" spans="1:10" ht="15" customHeight="1" x14ac:dyDescent="0.35">
      <c r="A27" s="9">
        <f t="shared" si="0"/>
        <v>26</v>
      </c>
      <c r="B27" s="7" t="s">
        <v>353</v>
      </c>
      <c r="C27" s="10">
        <v>45991</v>
      </c>
      <c r="D27" s="11">
        <v>29</v>
      </c>
      <c r="E27" s="8" t="s">
        <v>126</v>
      </c>
      <c r="F27" s="8" t="s">
        <v>348</v>
      </c>
      <c r="G27" s="7" t="s">
        <v>30</v>
      </c>
      <c r="H27" s="12" t="str">
        <f>IF(B27="","",VLOOKUP(B27,Items!A:I,3,FALSE))</f>
        <v>LOFT</v>
      </c>
      <c r="I27" s="12" t="str">
        <f>IF(B27="","",VLOOKUP(B27,Items!A:I,9,FALSE))</f>
        <v>Dresses</v>
      </c>
      <c r="J27" s="12" t="str">
        <f t="shared" si="1"/>
        <v>11/30/2025LOFTDresses</v>
      </c>
    </row>
    <row r="28" spans="1:10" ht="15" customHeight="1" x14ac:dyDescent="0.35">
      <c r="A28" s="9">
        <f t="shared" si="0"/>
        <v>27</v>
      </c>
      <c r="B28" s="7" t="s">
        <v>354</v>
      </c>
      <c r="C28" s="10">
        <v>45992</v>
      </c>
      <c r="D28" s="11">
        <v>14</v>
      </c>
      <c r="E28" s="8" t="s">
        <v>127</v>
      </c>
      <c r="F28" s="8"/>
      <c r="G28" s="7" t="s">
        <v>32</v>
      </c>
      <c r="H28" s="12" t="str">
        <f>IF(B28="","",VLOOKUP(B28,Items!A:I,3,FALSE))</f>
        <v>Tommy Hilfiger</v>
      </c>
      <c r="I28" s="12" t="str">
        <f>IF(B28="","",VLOOKUP(B28,Items!A:I,9,FALSE))</f>
        <v>Tops</v>
      </c>
      <c r="J28" s="12" t="str">
        <f t="shared" si="1"/>
        <v>12/01/2025Tommy HilfigerTops</v>
      </c>
    </row>
    <row r="29" spans="1:10" ht="15" customHeight="1" x14ac:dyDescent="0.35">
      <c r="A29" s="9">
        <f t="shared" si="0"/>
        <v>28</v>
      </c>
      <c r="B29" s="7" t="s">
        <v>355</v>
      </c>
      <c r="C29" s="10">
        <v>46004</v>
      </c>
      <c r="D29" s="11">
        <v>12</v>
      </c>
      <c r="E29" s="8" t="s">
        <v>53</v>
      </c>
      <c r="F29" s="8" t="s">
        <v>356</v>
      </c>
      <c r="G29" s="7" t="s">
        <v>27</v>
      </c>
      <c r="H29" s="12" t="str">
        <f>IF(B29="","",VLOOKUP(B29,Items!A:I,3,FALSE))</f>
        <v>Patagonia</v>
      </c>
      <c r="I29" s="12" t="str">
        <f>IF(B29="","",VLOOKUP(B29,Items!A:I,9,FALSE))</f>
        <v>Footwear</v>
      </c>
      <c r="J29" s="12" t="str">
        <f t="shared" si="1"/>
        <v>12/13/2025PatagoniaFootwear</v>
      </c>
    </row>
    <row r="30" spans="1:10" ht="15" customHeight="1" x14ac:dyDescent="0.35">
      <c r="A30" s="9">
        <f t="shared" si="0"/>
        <v>29</v>
      </c>
      <c r="B30" s="7" t="s">
        <v>357</v>
      </c>
      <c r="C30" s="10">
        <v>46009</v>
      </c>
      <c r="D30" s="11">
        <v>7</v>
      </c>
      <c r="E30" s="8" t="s">
        <v>53</v>
      </c>
      <c r="F30" s="8" t="s">
        <v>358</v>
      </c>
      <c r="G30" s="7" t="s">
        <v>30</v>
      </c>
      <c r="H30" s="12" t="str">
        <f>IF(B30="","",VLOOKUP(B30,Items!A:I,3,FALSE))</f>
        <v>Express</v>
      </c>
      <c r="I30" s="12" t="str">
        <f>IF(B30="","",VLOOKUP(B30,Items!A:I,9,FALSE))</f>
        <v>Tops</v>
      </c>
      <c r="J30" s="12" t="str">
        <f t="shared" si="1"/>
        <v>12/18/2025ExpressTops</v>
      </c>
    </row>
    <row r="31" spans="1:10" ht="15" customHeight="1" x14ac:dyDescent="0.35">
      <c r="A31" s="9">
        <f t="shared" si="0"/>
        <v>30</v>
      </c>
      <c r="B31" s="7" t="s">
        <v>359</v>
      </c>
      <c r="C31" s="10">
        <v>46012</v>
      </c>
      <c r="D31" s="11">
        <v>15</v>
      </c>
      <c r="E31" s="8" t="s">
        <v>126</v>
      </c>
      <c r="F31" s="8"/>
      <c r="G31" s="7" t="s">
        <v>125</v>
      </c>
      <c r="H31" s="12" t="str">
        <f>IF(B31="","",VLOOKUP(B31,Items!A:I,3,FALSE))</f>
        <v>Victoria's Secret</v>
      </c>
      <c r="I31" s="12" t="str">
        <f>IF(B31="","",VLOOKUP(B31,Items!A:I,9,FALSE))</f>
        <v>Swimwear</v>
      </c>
      <c r="J31" s="12" t="str">
        <f t="shared" si="1"/>
        <v>12/21/2025Victoria's SecretSwimwear</v>
      </c>
    </row>
    <row r="32" spans="1:10" ht="15" customHeight="1" x14ac:dyDescent="0.35">
      <c r="A32" s="9">
        <f t="shared" si="0"/>
        <v>31</v>
      </c>
      <c r="B32" s="7" t="s">
        <v>360</v>
      </c>
      <c r="C32" s="10">
        <v>46012</v>
      </c>
      <c r="D32" s="11">
        <v>34</v>
      </c>
      <c r="E32" s="8" t="s">
        <v>126</v>
      </c>
      <c r="F32" s="8" t="s">
        <v>330</v>
      </c>
      <c r="G32" s="7" t="s">
        <v>23</v>
      </c>
      <c r="H32" s="12" t="str">
        <f>IF(B32="","",VLOOKUP(B32,Items!A:I,3,FALSE))</f>
        <v>Adidas</v>
      </c>
      <c r="I32" s="12" t="str">
        <f>IF(B32="","",VLOOKUP(B32,Items!A:I,9,FALSE))</f>
        <v>Dresses</v>
      </c>
      <c r="J32" s="12" t="str">
        <f t="shared" si="1"/>
        <v>12/21/2025AdidasDresses</v>
      </c>
    </row>
    <row r="33" spans="1:10" ht="15" customHeight="1" x14ac:dyDescent="0.35">
      <c r="A33" s="9">
        <f t="shared" si="0"/>
        <v>32</v>
      </c>
      <c r="B33" s="7" t="s">
        <v>361</v>
      </c>
      <c r="C33" s="10">
        <v>46012</v>
      </c>
      <c r="D33" s="11">
        <v>6</v>
      </c>
      <c r="E33" s="8" t="s">
        <v>54</v>
      </c>
      <c r="F33" s="8" t="s">
        <v>352</v>
      </c>
      <c r="G33" s="7" t="s">
        <v>30</v>
      </c>
      <c r="H33" s="12" t="str">
        <f>IF(B33="","",VLOOKUP(B33,Items!A:I,3,FALSE))</f>
        <v>Calvin Klein</v>
      </c>
      <c r="I33" s="12" t="str">
        <f>IF(B33="","",VLOOKUP(B33,Items!A:I,9,FALSE))</f>
        <v>Tops</v>
      </c>
      <c r="J33" s="12" t="str">
        <f t="shared" si="1"/>
        <v>12/21/2025Calvin KleinTops</v>
      </c>
    </row>
    <row r="34" spans="1:10" ht="15" customHeight="1" x14ac:dyDescent="0.35">
      <c r="A34" s="9">
        <f t="shared" ref="A34:A65" si="2">IF(B34="","",ROW()-1)</f>
        <v>33</v>
      </c>
      <c r="B34" s="7" t="s">
        <v>362</v>
      </c>
      <c r="C34" s="10">
        <v>46013</v>
      </c>
      <c r="D34" s="11">
        <v>26</v>
      </c>
      <c r="E34" s="8" t="s">
        <v>126</v>
      </c>
      <c r="F34" s="8"/>
      <c r="G34" s="7" t="s">
        <v>30</v>
      </c>
      <c r="H34" s="12" t="str">
        <f>IF(B34="","",VLOOKUP(B34,Items!A:I,3,FALSE))</f>
        <v>Aerie</v>
      </c>
      <c r="I34" s="12" t="str">
        <f>IF(B34="","",VLOOKUP(B34,Items!A:I,9,FALSE))</f>
        <v>Footwear</v>
      </c>
      <c r="J34" s="12" t="str">
        <f t="shared" si="1"/>
        <v>12/22/2025AerieFootwear</v>
      </c>
    </row>
    <row r="35" spans="1:10" ht="15" customHeight="1" x14ac:dyDescent="0.35">
      <c r="A35" s="9">
        <f t="shared" si="2"/>
        <v>34</v>
      </c>
      <c r="B35" s="7" t="s">
        <v>363</v>
      </c>
      <c r="C35" s="10">
        <v>46015</v>
      </c>
      <c r="D35" s="11">
        <v>8</v>
      </c>
      <c r="E35" s="8" t="s">
        <v>54</v>
      </c>
      <c r="F35" s="8" t="s">
        <v>332</v>
      </c>
      <c r="G35" s="7" t="s">
        <v>32</v>
      </c>
      <c r="H35" s="12" t="str">
        <f>IF(B35="","",VLOOKUP(B35,Items!A:I,3,FALSE))</f>
        <v>H&amp;M</v>
      </c>
      <c r="I35" s="12" t="str">
        <f>IF(B35="","",VLOOKUP(B35,Items!A:I,9,FALSE))</f>
        <v>Swimwear</v>
      </c>
      <c r="J35" s="12" t="str">
        <f t="shared" si="1"/>
        <v>12/24/2025H&amp;MSwimwear</v>
      </c>
    </row>
    <row r="36" spans="1:10" ht="15" customHeight="1" x14ac:dyDescent="0.35">
      <c r="A36" s="9">
        <f t="shared" si="2"/>
        <v>35</v>
      </c>
      <c r="B36" s="7" t="s">
        <v>364</v>
      </c>
      <c r="C36" s="10">
        <v>46016</v>
      </c>
      <c r="D36" s="11">
        <v>18</v>
      </c>
      <c r="E36" s="8" t="s">
        <v>54</v>
      </c>
      <c r="F36" s="8"/>
      <c r="G36" s="7" t="s">
        <v>27</v>
      </c>
      <c r="H36" s="12" t="str">
        <f>IF(B36="","",VLOOKUP(B36,Items!A:I,3,FALSE))</f>
        <v>SO Clothing</v>
      </c>
      <c r="I36" s="12" t="str">
        <f>IF(B36="","",VLOOKUP(B36,Items!A:I,9,FALSE))</f>
        <v>Coats/Jackets</v>
      </c>
      <c r="J36" s="12" t="str">
        <f t="shared" si="1"/>
        <v>12/25/2025SO ClothingCoats/Jackets</v>
      </c>
    </row>
    <row r="37" spans="1:10" ht="15" customHeight="1" x14ac:dyDescent="0.35">
      <c r="A37" s="9">
        <f t="shared" si="2"/>
        <v>36</v>
      </c>
      <c r="B37" s="7" t="s">
        <v>365</v>
      </c>
      <c r="C37" s="10">
        <v>46017</v>
      </c>
      <c r="D37" s="11">
        <v>16</v>
      </c>
      <c r="E37" s="8" t="s">
        <v>126</v>
      </c>
      <c r="F37" s="8"/>
      <c r="G37" s="7" t="s">
        <v>30</v>
      </c>
      <c r="H37" s="12" t="str">
        <f>IF(B37="","",VLOOKUP(B37,Items!A:I,3,FALSE))</f>
        <v>Free People</v>
      </c>
      <c r="I37" s="12" t="str">
        <f>IF(B37="","",VLOOKUP(B37,Items!A:I,9,FALSE))</f>
        <v>Bottoms</v>
      </c>
      <c r="J37" s="12" t="str">
        <f t="shared" si="1"/>
        <v>12/26/2025Free PeopleBottoms</v>
      </c>
    </row>
    <row r="38" spans="1:10" ht="15" customHeight="1" x14ac:dyDescent="0.35">
      <c r="A38" s="9">
        <f t="shared" si="2"/>
        <v>37</v>
      </c>
      <c r="B38" s="7" t="s">
        <v>366</v>
      </c>
      <c r="C38" s="10">
        <v>46019</v>
      </c>
      <c r="D38" s="11">
        <v>21</v>
      </c>
      <c r="E38" s="8" t="s">
        <v>54</v>
      </c>
      <c r="F38" s="8" t="s">
        <v>332</v>
      </c>
      <c r="G38" s="7" t="s">
        <v>32</v>
      </c>
      <c r="H38" s="12" t="str">
        <f>IF(B38="","",VLOOKUP(B38,Items!A:I,3,FALSE))</f>
        <v>BKE</v>
      </c>
      <c r="I38" s="12" t="str">
        <f>IF(B38="","",VLOOKUP(B38,Items!A:I,9,FALSE))</f>
        <v>Tops</v>
      </c>
      <c r="J38" s="12" t="str">
        <f t="shared" si="1"/>
        <v>12/28/2025BKETops</v>
      </c>
    </row>
    <row r="39" spans="1:10" ht="15" customHeight="1" x14ac:dyDescent="0.35">
      <c r="A39" s="9">
        <f t="shared" si="2"/>
        <v>38</v>
      </c>
      <c r="B39" s="7" t="s">
        <v>367</v>
      </c>
      <c r="C39" s="10">
        <v>46020</v>
      </c>
      <c r="D39" s="11">
        <v>9</v>
      </c>
      <c r="E39" s="8" t="s">
        <v>53</v>
      </c>
      <c r="F39" s="8" t="s">
        <v>358</v>
      </c>
      <c r="G39" s="7" t="s">
        <v>32</v>
      </c>
      <c r="H39" s="12" t="str">
        <f>IF(B39="","",VLOOKUP(B39,Items!A:I,3,FALSE))</f>
        <v>American Eagle</v>
      </c>
      <c r="I39" s="12" t="str">
        <f>IF(B39="","",VLOOKUP(B39,Items!A:I,9,FALSE))</f>
        <v>Swimwear</v>
      </c>
      <c r="J39" s="12" t="str">
        <f t="shared" si="1"/>
        <v>12/29/2025American EagleSwimwear</v>
      </c>
    </row>
    <row r="40" spans="1:10" ht="15" customHeight="1" x14ac:dyDescent="0.35">
      <c r="A40" s="9">
        <f t="shared" si="2"/>
        <v>39</v>
      </c>
      <c r="B40" s="7" t="s">
        <v>368</v>
      </c>
      <c r="C40" s="10">
        <v>46022</v>
      </c>
      <c r="D40" s="11">
        <v>20</v>
      </c>
      <c r="E40" s="8" t="s">
        <v>325</v>
      </c>
      <c r="F40" s="8"/>
      <c r="G40" s="7" t="s">
        <v>32</v>
      </c>
      <c r="H40" s="12" t="str">
        <f>IF(B40="","",VLOOKUP(B40,Items!A:I,3,FALSE))</f>
        <v>Hollister</v>
      </c>
      <c r="I40" s="12" t="str">
        <f>IF(B40="","",VLOOKUP(B40,Items!A:I,9,FALSE))</f>
        <v>Tops</v>
      </c>
      <c r="J40" s="12" t="str">
        <f t="shared" si="1"/>
        <v>12/31/2025HollisterTops</v>
      </c>
    </row>
    <row r="41" spans="1:10" ht="15" customHeight="1" x14ac:dyDescent="0.35">
      <c r="A41" s="9">
        <f t="shared" si="2"/>
        <v>40</v>
      </c>
      <c r="B41" s="7" t="s">
        <v>369</v>
      </c>
      <c r="C41" s="10">
        <v>46022</v>
      </c>
      <c r="D41" s="11">
        <v>25</v>
      </c>
      <c r="E41" s="8" t="s">
        <v>54</v>
      </c>
      <c r="F41" s="8"/>
      <c r="G41" s="7" t="s">
        <v>23</v>
      </c>
      <c r="H41" s="12" t="str">
        <f>IF(B41="","",VLOOKUP(B41,Items!A:I,3,FALSE))</f>
        <v>The North Face</v>
      </c>
      <c r="I41" s="12" t="str">
        <f>IF(B41="","",VLOOKUP(B41,Items!A:I,9,FALSE))</f>
        <v>Bottoms</v>
      </c>
      <c r="J41" s="12" t="str">
        <f t="shared" si="1"/>
        <v>12/31/2025The North FaceBottoms</v>
      </c>
    </row>
    <row r="42" spans="1:10" ht="15" customHeight="1" x14ac:dyDescent="0.35">
      <c r="A42" s="9">
        <f t="shared" si="2"/>
        <v>41</v>
      </c>
      <c r="B42" s="7" t="s">
        <v>370</v>
      </c>
      <c r="C42" s="10">
        <v>46023</v>
      </c>
      <c r="D42" s="11">
        <v>23</v>
      </c>
      <c r="E42" s="8" t="s">
        <v>54</v>
      </c>
      <c r="F42" s="8"/>
      <c r="G42" s="7" t="s">
        <v>30</v>
      </c>
      <c r="H42" s="12" t="str">
        <f>IF(B42="","",VLOOKUP(B42,Items!A:I,3,FALSE))</f>
        <v>Hollister</v>
      </c>
      <c r="I42" s="12" t="str">
        <f>IF(B42="","",VLOOKUP(B42,Items!A:I,9,FALSE))</f>
        <v>Tops</v>
      </c>
      <c r="J42" s="12" t="str">
        <f t="shared" si="1"/>
        <v>01/01/2026HollisterTops</v>
      </c>
    </row>
    <row r="43" spans="1:10" ht="15" customHeight="1" x14ac:dyDescent="0.35">
      <c r="A43" s="9">
        <f t="shared" si="2"/>
        <v>42</v>
      </c>
      <c r="B43" s="7" t="s">
        <v>371</v>
      </c>
      <c r="C43" s="10">
        <v>46024</v>
      </c>
      <c r="D43" s="11">
        <v>22</v>
      </c>
      <c r="E43" s="8" t="s">
        <v>126</v>
      </c>
      <c r="F43" s="8"/>
      <c r="G43" s="7" t="s">
        <v>23</v>
      </c>
      <c r="H43" s="12" t="str">
        <f>IF(B43="","",VLOOKUP(B43,Items!A:I,3,FALSE))</f>
        <v>Gap</v>
      </c>
      <c r="I43" s="12" t="str">
        <f>IF(B43="","",VLOOKUP(B43,Items!A:I,9,FALSE))</f>
        <v>Bottoms</v>
      </c>
      <c r="J43" s="12" t="str">
        <f t="shared" si="1"/>
        <v>01/02/2026GapBottoms</v>
      </c>
    </row>
    <row r="44" spans="1:10" ht="15" customHeight="1" x14ac:dyDescent="0.35">
      <c r="A44" s="9">
        <f t="shared" si="2"/>
        <v>43</v>
      </c>
      <c r="B44" s="7" t="s">
        <v>372</v>
      </c>
      <c r="C44" s="10">
        <v>46026</v>
      </c>
      <c r="D44" s="11">
        <v>18</v>
      </c>
      <c r="E44" s="8" t="s">
        <v>126</v>
      </c>
      <c r="F44" s="8" t="s">
        <v>323</v>
      </c>
      <c r="G44" s="7" t="s">
        <v>23</v>
      </c>
      <c r="H44" s="12" t="str">
        <f>IF(B44="","",VLOOKUP(B44,Items!A:I,3,FALSE))</f>
        <v>Other</v>
      </c>
      <c r="I44" s="12" t="str">
        <f>IF(B44="","",VLOOKUP(B44,Items!A:I,9,FALSE))</f>
        <v>Bottoms</v>
      </c>
      <c r="J44" s="12" t="str">
        <f t="shared" si="1"/>
        <v>01/04/2026OtherBottoms</v>
      </c>
    </row>
    <row r="45" spans="1:10" ht="15" customHeight="1" x14ac:dyDescent="0.35">
      <c r="A45" s="9">
        <f t="shared" si="2"/>
        <v>44</v>
      </c>
      <c r="B45" s="7" t="s">
        <v>373</v>
      </c>
      <c r="C45" s="10">
        <v>46030</v>
      </c>
      <c r="D45" s="11">
        <v>23</v>
      </c>
      <c r="E45" s="8" t="s">
        <v>126</v>
      </c>
      <c r="F45" s="8" t="s">
        <v>330</v>
      </c>
      <c r="G45" s="7" t="s">
        <v>30</v>
      </c>
      <c r="H45" s="12" t="str">
        <f>IF(B45="","",VLOOKUP(B45,Items!A:I,3,FALSE))</f>
        <v>J.Crew</v>
      </c>
      <c r="I45" s="12" t="str">
        <f>IF(B45="","",VLOOKUP(B45,Items!A:I,9,FALSE))</f>
        <v>Tops</v>
      </c>
      <c r="J45" s="12" t="str">
        <f t="shared" si="1"/>
        <v>01/08/2026J.CrewTops</v>
      </c>
    </row>
    <row r="46" spans="1:10" ht="15" customHeight="1" x14ac:dyDescent="0.35">
      <c r="A46" s="9">
        <f t="shared" si="2"/>
        <v>45</v>
      </c>
      <c r="B46" s="7" t="s">
        <v>374</v>
      </c>
      <c r="C46" s="10">
        <v>46031</v>
      </c>
      <c r="D46" s="11">
        <v>18</v>
      </c>
      <c r="E46" s="8" t="s">
        <v>54</v>
      </c>
      <c r="F46" s="8" t="s">
        <v>332</v>
      </c>
      <c r="G46" s="7" t="s">
        <v>30</v>
      </c>
      <c r="H46" s="12" t="str">
        <f>IF(B46="","",VLOOKUP(B46,Items!A:I,3,FALSE))</f>
        <v>Zara</v>
      </c>
      <c r="I46" s="12" t="str">
        <f>IF(B46="","",VLOOKUP(B46,Items!A:I,9,FALSE))</f>
        <v>Tops</v>
      </c>
      <c r="J46" s="12" t="str">
        <f t="shared" si="1"/>
        <v>01/09/2026ZaraTops</v>
      </c>
    </row>
    <row r="47" spans="1:10" ht="15" customHeight="1" x14ac:dyDescent="0.35">
      <c r="A47" s="9">
        <f t="shared" si="2"/>
        <v>46</v>
      </c>
      <c r="B47" s="7" t="s">
        <v>375</v>
      </c>
      <c r="C47" s="10">
        <v>46032</v>
      </c>
      <c r="D47" s="11">
        <v>25</v>
      </c>
      <c r="E47" s="8" t="s">
        <v>325</v>
      </c>
      <c r="F47" s="8"/>
      <c r="G47" s="7" t="s">
        <v>42</v>
      </c>
      <c r="H47" s="12" t="str">
        <f>IF(B47="","",VLOOKUP(B47,Items!A:I,3,FALSE))</f>
        <v>American Eagle</v>
      </c>
      <c r="I47" s="12" t="str">
        <f>IF(B47="","",VLOOKUP(B47,Items!A:I,9,FALSE))</f>
        <v>Coats/Jackets</v>
      </c>
      <c r="J47" s="12" t="str">
        <f t="shared" si="1"/>
        <v>01/10/2026American EagleCoats/Jackets</v>
      </c>
    </row>
    <row r="48" spans="1:10" ht="15" customHeight="1" x14ac:dyDescent="0.35">
      <c r="A48" s="9">
        <f t="shared" si="2"/>
        <v>47</v>
      </c>
      <c r="B48" s="7" t="s">
        <v>376</v>
      </c>
      <c r="C48" s="10">
        <v>46032</v>
      </c>
      <c r="D48" s="11">
        <v>29</v>
      </c>
      <c r="E48" s="8" t="s">
        <v>54</v>
      </c>
      <c r="F48" s="8" t="s">
        <v>352</v>
      </c>
      <c r="G48" s="7" t="s">
        <v>23</v>
      </c>
      <c r="H48" s="12" t="str">
        <f>IF(B48="","",VLOOKUP(B48,Items!A:I,3,FALSE))</f>
        <v>Other</v>
      </c>
      <c r="I48" s="12" t="str">
        <f>IF(B48="","",VLOOKUP(B48,Items!A:I,9,FALSE))</f>
        <v>Bottoms</v>
      </c>
      <c r="J48" s="12" t="str">
        <f t="shared" si="1"/>
        <v>01/10/2026OtherBottoms</v>
      </c>
    </row>
    <row r="49" spans="1:10" ht="15" customHeight="1" x14ac:dyDescent="0.35">
      <c r="A49" s="9">
        <f t="shared" si="2"/>
        <v>48</v>
      </c>
      <c r="B49" s="7" t="s">
        <v>377</v>
      </c>
      <c r="C49" s="10">
        <v>46033</v>
      </c>
      <c r="D49" s="11">
        <v>13</v>
      </c>
      <c r="E49" s="8" t="s">
        <v>325</v>
      </c>
      <c r="F49" s="8"/>
      <c r="G49" s="7" t="s">
        <v>125</v>
      </c>
      <c r="H49" s="12" t="str">
        <f>IF(B49="","",VLOOKUP(B49,Items!A:I,3,FALSE))</f>
        <v>Nike</v>
      </c>
      <c r="I49" s="12" t="str">
        <f>IF(B49="","",VLOOKUP(B49,Items!A:I,9,FALSE))</f>
        <v>Swimwear</v>
      </c>
      <c r="J49" s="12" t="str">
        <f t="shared" si="1"/>
        <v>01/11/2026NikeSwimwear</v>
      </c>
    </row>
    <row r="50" spans="1:10" ht="15" customHeight="1" x14ac:dyDescent="0.35">
      <c r="A50" s="9">
        <f t="shared" si="2"/>
        <v>49</v>
      </c>
      <c r="B50" s="7" t="s">
        <v>378</v>
      </c>
      <c r="C50" s="10">
        <v>46035</v>
      </c>
      <c r="D50" s="11">
        <v>15</v>
      </c>
      <c r="E50" s="8" t="s">
        <v>54</v>
      </c>
      <c r="F50" s="8" t="s">
        <v>332</v>
      </c>
      <c r="G50" s="7" t="s">
        <v>30</v>
      </c>
      <c r="H50" s="12" t="str">
        <f>IF(B50="","",VLOOKUP(B50,Items!A:I,3,FALSE))</f>
        <v>Zara</v>
      </c>
      <c r="I50" s="12" t="str">
        <f>IF(B50="","",VLOOKUP(B50,Items!A:I,9,FALSE))</f>
        <v>Tops</v>
      </c>
      <c r="J50" s="12" t="str">
        <f t="shared" si="1"/>
        <v>01/13/2026ZaraTops</v>
      </c>
    </row>
    <row r="51" spans="1:10" ht="15" customHeight="1" x14ac:dyDescent="0.35">
      <c r="A51" s="9">
        <f t="shared" si="2"/>
        <v>50</v>
      </c>
      <c r="B51" s="7" t="s">
        <v>379</v>
      </c>
      <c r="C51" s="10">
        <v>46039</v>
      </c>
      <c r="D51" s="11">
        <v>22</v>
      </c>
      <c r="E51" s="8" t="s">
        <v>127</v>
      </c>
      <c r="F51" s="8"/>
      <c r="G51" s="7" t="s">
        <v>30</v>
      </c>
      <c r="H51" s="12" t="str">
        <f>IF(B51="","",VLOOKUP(B51,Items!A:I,3,FALSE))</f>
        <v>Old Navy</v>
      </c>
      <c r="I51" s="12" t="str">
        <f>IF(B51="","",VLOOKUP(B51,Items!A:I,9,FALSE))</f>
        <v>Tops</v>
      </c>
      <c r="J51" s="12" t="str">
        <f t="shared" si="1"/>
        <v>01/17/2026Old NavyTops</v>
      </c>
    </row>
    <row r="52" spans="1:10" ht="15" customHeight="1" x14ac:dyDescent="0.35">
      <c r="A52" s="9">
        <f t="shared" si="2"/>
        <v>51</v>
      </c>
      <c r="B52" s="7" t="s">
        <v>380</v>
      </c>
      <c r="C52" s="10">
        <v>46044</v>
      </c>
      <c r="D52" s="11">
        <v>19</v>
      </c>
      <c r="E52" s="8" t="s">
        <v>53</v>
      </c>
      <c r="F52" s="8" t="s">
        <v>381</v>
      </c>
      <c r="G52" s="7" t="s">
        <v>27</v>
      </c>
      <c r="H52" s="12" t="str">
        <f>IF(B52="","",VLOOKUP(B52,Items!A:I,3,FALSE))</f>
        <v>Abercrombie &amp; Fitch</v>
      </c>
      <c r="I52" s="12" t="str">
        <f>IF(B52="","",VLOOKUP(B52,Items!A:I,9,FALSE))</f>
        <v>Dresses</v>
      </c>
      <c r="J52" s="12" t="str">
        <f t="shared" si="1"/>
        <v>01/22/2026Abercrombie &amp; FitchDresses</v>
      </c>
    </row>
    <row r="53" spans="1:10" ht="15" customHeight="1" x14ac:dyDescent="0.35">
      <c r="A53" s="9">
        <f t="shared" si="2"/>
        <v>52</v>
      </c>
      <c r="B53" s="7" t="s">
        <v>382</v>
      </c>
      <c r="C53" s="10">
        <v>46045</v>
      </c>
      <c r="D53" s="11">
        <v>12</v>
      </c>
      <c r="E53" s="8" t="s">
        <v>54</v>
      </c>
      <c r="F53" s="8" t="s">
        <v>352</v>
      </c>
      <c r="G53" s="7" t="s">
        <v>23</v>
      </c>
      <c r="H53" s="12" t="str">
        <f>IF(B53="","",VLOOKUP(B53,Items!A:I,3,FALSE))</f>
        <v>American Eagle</v>
      </c>
      <c r="I53" s="12" t="str">
        <f>IF(B53="","",VLOOKUP(B53,Items!A:I,9,FALSE))</f>
        <v>Dresses</v>
      </c>
      <c r="J53" s="12" t="str">
        <f t="shared" si="1"/>
        <v>01/23/2026American EagleDresses</v>
      </c>
    </row>
    <row r="54" spans="1:10" ht="15" customHeight="1" x14ac:dyDescent="0.35">
      <c r="A54" s="9">
        <f t="shared" si="2"/>
        <v>53</v>
      </c>
      <c r="B54" s="7" t="s">
        <v>383</v>
      </c>
      <c r="C54" s="10">
        <v>46046</v>
      </c>
      <c r="D54" s="11">
        <v>24</v>
      </c>
      <c r="E54" s="8" t="s">
        <v>54</v>
      </c>
      <c r="F54" s="8"/>
      <c r="G54" s="7" t="s">
        <v>23</v>
      </c>
      <c r="H54" s="12" t="str">
        <f>IF(B54="","",VLOOKUP(B54,Items!A:I,3,FALSE))</f>
        <v>Urban Outfitters</v>
      </c>
      <c r="I54" s="12" t="str">
        <f>IF(B54="","",VLOOKUP(B54,Items!A:I,9,FALSE))</f>
        <v>Dresses</v>
      </c>
      <c r="J54" s="12" t="str">
        <f t="shared" si="1"/>
        <v>01/24/2026Urban OutfittersDresses</v>
      </c>
    </row>
    <row r="55" spans="1:10" ht="15" customHeight="1" x14ac:dyDescent="0.35">
      <c r="A55" s="9">
        <f t="shared" si="2"/>
        <v>54</v>
      </c>
      <c r="B55" s="7" t="s">
        <v>384</v>
      </c>
      <c r="C55" s="10">
        <v>46047</v>
      </c>
      <c r="D55" s="11">
        <v>9</v>
      </c>
      <c r="E55" s="8" t="s">
        <v>325</v>
      </c>
      <c r="F55" s="8"/>
      <c r="G55" s="7" t="s">
        <v>32</v>
      </c>
      <c r="H55" s="12" t="str">
        <f>IF(B55="","",VLOOKUP(B55,Items!A:I,3,FALSE))</f>
        <v>J.Crew</v>
      </c>
      <c r="I55" s="12" t="str">
        <f>IF(B55="","",VLOOKUP(B55,Items!A:I,9,FALSE))</f>
        <v>Tops</v>
      </c>
      <c r="J55" s="12" t="str">
        <f t="shared" si="1"/>
        <v>01/25/2026J.CrewTops</v>
      </c>
    </row>
    <row r="56" spans="1:10" ht="15" customHeight="1" x14ac:dyDescent="0.35">
      <c r="A56" s="9">
        <f t="shared" si="2"/>
        <v>55</v>
      </c>
      <c r="B56" s="7" t="s">
        <v>385</v>
      </c>
      <c r="C56" s="10">
        <v>46049</v>
      </c>
      <c r="D56" s="11">
        <v>24</v>
      </c>
      <c r="E56" s="8" t="s">
        <v>126</v>
      </c>
      <c r="F56" s="8"/>
      <c r="G56" s="7" t="s">
        <v>23</v>
      </c>
      <c r="H56" s="12" t="str">
        <f>IF(B56="","",VLOOKUP(B56,Items!A:I,3,FALSE))</f>
        <v>Old Navy</v>
      </c>
      <c r="I56" s="12" t="str">
        <f>IF(B56="","",VLOOKUP(B56,Items!A:I,9,FALSE))</f>
        <v>Bottoms</v>
      </c>
      <c r="J56" s="12" t="str">
        <f t="shared" si="1"/>
        <v>01/27/2026Old NavyBottoms</v>
      </c>
    </row>
    <row r="57" spans="1:10" ht="15" customHeight="1" x14ac:dyDescent="0.35">
      <c r="A57" s="9">
        <f t="shared" si="2"/>
        <v>56</v>
      </c>
      <c r="B57" s="7" t="s">
        <v>386</v>
      </c>
      <c r="C57" s="10">
        <v>46051</v>
      </c>
      <c r="D57" s="11">
        <v>14</v>
      </c>
      <c r="E57" s="8" t="s">
        <v>325</v>
      </c>
      <c r="F57" s="8"/>
      <c r="G57" s="7" t="s">
        <v>23</v>
      </c>
      <c r="H57" s="12" t="str">
        <f>IF(B57="","",VLOOKUP(B57,Items!A:I,3,FALSE))</f>
        <v>Candie's</v>
      </c>
      <c r="I57" s="12" t="str">
        <f>IF(B57="","",VLOOKUP(B57,Items!A:I,9,FALSE))</f>
        <v>Bottoms</v>
      </c>
      <c r="J57" s="12" t="str">
        <f t="shared" si="1"/>
        <v>01/29/2026Candie'sBottoms</v>
      </c>
    </row>
    <row r="58" spans="1:10" ht="15" customHeight="1" x14ac:dyDescent="0.35">
      <c r="A58" s="9">
        <f t="shared" si="2"/>
        <v>57</v>
      </c>
      <c r="B58" s="7" t="s">
        <v>387</v>
      </c>
      <c r="C58" s="10">
        <v>46052</v>
      </c>
      <c r="D58" s="11">
        <v>6</v>
      </c>
      <c r="E58" s="8" t="s">
        <v>126</v>
      </c>
      <c r="F58" s="8" t="s">
        <v>330</v>
      </c>
      <c r="G58" s="7" t="s">
        <v>32</v>
      </c>
      <c r="H58" s="12" t="str">
        <f>IF(B58="","",VLOOKUP(B58,Items!A:I,3,FALSE))</f>
        <v>Victoria's Secret</v>
      </c>
      <c r="I58" s="12" t="str">
        <f>IF(B58="","",VLOOKUP(B58,Items!A:I,9,FALSE))</f>
        <v>Accessories</v>
      </c>
      <c r="J58" s="12" t="str">
        <f t="shared" si="1"/>
        <v>01/30/2026Victoria's SecretAccessories</v>
      </c>
    </row>
    <row r="59" spans="1:10" ht="15" customHeight="1" x14ac:dyDescent="0.35">
      <c r="A59" s="9">
        <f t="shared" si="2"/>
        <v>58</v>
      </c>
      <c r="B59" s="7" t="s">
        <v>388</v>
      </c>
      <c r="C59" s="10">
        <v>46055</v>
      </c>
      <c r="D59" s="11">
        <v>8</v>
      </c>
      <c r="E59" s="8" t="s">
        <v>126</v>
      </c>
      <c r="F59" s="8"/>
      <c r="G59" s="7" t="s">
        <v>32</v>
      </c>
      <c r="H59" s="12" t="str">
        <f>IF(B59="","",VLOOKUP(B59,Items!A:I,3,FALSE))</f>
        <v>Nike</v>
      </c>
      <c r="I59" s="12" t="str">
        <f>IF(B59="","",VLOOKUP(B59,Items!A:I,9,FALSE))</f>
        <v>Tops</v>
      </c>
      <c r="J59" s="12" t="str">
        <f t="shared" si="1"/>
        <v>02/02/2026NikeTops</v>
      </c>
    </row>
    <row r="60" spans="1:10" ht="15" customHeight="1" x14ac:dyDescent="0.35">
      <c r="A60" s="9">
        <f t="shared" si="2"/>
        <v>59</v>
      </c>
      <c r="B60" s="7" t="s">
        <v>389</v>
      </c>
      <c r="C60" s="10">
        <v>46056</v>
      </c>
      <c r="D60" s="11">
        <v>38</v>
      </c>
      <c r="E60" s="8" t="s">
        <v>127</v>
      </c>
      <c r="F60" s="8"/>
      <c r="G60" s="7" t="s">
        <v>27</v>
      </c>
      <c r="H60" s="12" t="str">
        <f>IF(B60="","",VLOOKUP(B60,Items!A:I,3,FALSE))</f>
        <v>Hollister</v>
      </c>
      <c r="I60" s="12" t="str">
        <f>IF(B60="","",VLOOKUP(B60,Items!A:I,9,FALSE))</f>
        <v>Dresses</v>
      </c>
      <c r="J60" s="12" t="str">
        <f t="shared" si="1"/>
        <v>02/03/2026HollisterDresses</v>
      </c>
    </row>
    <row r="61" spans="1:10" ht="15" customHeight="1" x14ac:dyDescent="0.35">
      <c r="A61" s="9">
        <f t="shared" si="2"/>
        <v>60</v>
      </c>
      <c r="B61" s="7" t="s">
        <v>390</v>
      </c>
      <c r="C61" s="10">
        <v>46057</v>
      </c>
      <c r="D61" s="11">
        <v>18</v>
      </c>
      <c r="E61" s="8" t="s">
        <v>54</v>
      </c>
      <c r="F61" s="8"/>
      <c r="G61" s="7" t="s">
        <v>23</v>
      </c>
      <c r="H61" s="12" t="str">
        <f>IF(B61="","",VLOOKUP(B61,Items!A:I,3,FALSE))</f>
        <v>Gap</v>
      </c>
      <c r="I61" s="12" t="str">
        <f>IF(B61="","",VLOOKUP(B61,Items!A:I,9,FALSE))</f>
        <v>Bottoms</v>
      </c>
      <c r="J61" s="12" t="str">
        <f t="shared" si="1"/>
        <v>02/04/2026GapBottoms</v>
      </c>
    </row>
    <row r="62" spans="1:10" ht="15" customHeight="1" x14ac:dyDescent="0.35">
      <c r="A62" s="9">
        <f t="shared" si="2"/>
        <v>61</v>
      </c>
      <c r="B62" s="7" t="s">
        <v>391</v>
      </c>
      <c r="C62" s="10">
        <v>46059</v>
      </c>
      <c r="D62" s="11">
        <v>19</v>
      </c>
      <c r="E62" s="8" t="s">
        <v>126</v>
      </c>
      <c r="F62" s="8"/>
      <c r="G62" s="7" t="s">
        <v>23</v>
      </c>
      <c r="H62" s="12" t="str">
        <f>IF(B62="","",VLOOKUP(B62,Items!A:I,3,FALSE))</f>
        <v>J.Crew</v>
      </c>
      <c r="I62" s="12" t="str">
        <f>IF(B62="","",VLOOKUP(B62,Items!A:I,9,FALSE))</f>
        <v>Dresses</v>
      </c>
      <c r="J62" s="12" t="str">
        <f t="shared" si="1"/>
        <v>02/06/2026J.CrewDresses</v>
      </c>
    </row>
    <row r="63" spans="1:10" ht="15" customHeight="1" x14ac:dyDescent="0.35">
      <c r="A63" s="9">
        <f t="shared" si="2"/>
        <v>62</v>
      </c>
      <c r="B63" s="7" t="s">
        <v>392</v>
      </c>
      <c r="C63" s="10">
        <v>46059</v>
      </c>
      <c r="D63" s="11">
        <v>35</v>
      </c>
      <c r="E63" s="8" t="s">
        <v>126</v>
      </c>
      <c r="F63" s="8" t="s">
        <v>323</v>
      </c>
      <c r="G63" s="7" t="s">
        <v>23</v>
      </c>
      <c r="H63" s="12" t="str">
        <f>IF(B63="","",VLOOKUP(B63,Items!A:I,3,FALSE))</f>
        <v>Forever 21</v>
      </c>
      <c r="I63" s="12" t="str">
        <f>IF(B63="","",VLOOKUP(B63,Items!A:I,9,FALSE))</f>
        <v>Dresses</v>
      </c>
      <c r="J63" s="12" t="str">
        <f t="shared" si="1"/>
        <v>02/06/2026Forever 21Dresses</v>
      </c>
    </row>
    <row r="64" spans="1:10" ht="15" customHeight="1" x14ac:dyDescent="0.35">
      <c r="A64" s="9">
        <f t="shared" si="2"/>
        <v>63</v>
      </c>
      <c r="B64" s="7" t="s">
        <v>393</v>
      </c>
      <c r="C64" s="10">
        <v>46061</v>
      </c>
      <c r="D64" s="11">
        <v>15</v>
      </c>
      <c r="E64" s="8" t="s">
        <v>53</v>
      </c>
      <c r="F64" s="8" t="s">
        <v>394</v>
      </c>
      <c r="G64" s="7" t="s">
        <v>23</v>
      </c>
      <c r="H64" s="12" t="str">
        <f>IF(B64="","",VLOOKUP(B64,Items!A:I,3,FALSE))</f>
        <v>Cotton Natural</v>
      </c>
      <c r="I64" s="12" t="str">
        <f>IF(B64="","",VLOOKUP(B64,Items!A:I,9,FALSE))</f>
        <v>Bottoms</v>
      </c>
      <c r="J64" s="12" t="str">
        <f t="shared" si="1"/>
        <v>02/08/2026Cotton NaturalBottoms</v>
      </c>
    </row>
    <row r="65" spans="1:10" ht="15" customHeight="1" x14ac:dyDescent="0.35">
      <c r="A65" s="9">
        <f t="shared" si="2"/>
        <v>64</v>
      </c>
      <c r="B65" s="7" t="s">
        <v>395</v>
      </c>
      <c r="C65" s="10">
        <v>46062</v>
      </c>
      <c r="D65" s="11">
        <v>19</v>
      </c>
      <c r="E65" s="8" t="s">
        <v>126</v>
      </c>
      <c r="F65" s="8" t="s">
        <v>330</v>
      </c>
      <c r="G65" s="7" t="s">
        <v>30</v>
      </c>
      <c r="H65" s="12" t="str">
        <f>IF(B65="","",VLOOKUP(B65,Items!A:I,3,FALSE))</f>
        <v>Free People</v>
      </c>
      <c r="I65" s="12" t="str">
        <f>IF(B65="","",VLOOKUP(B65,Items!A:I,9,FALSE))</f>
        <v>Tops</v>
      </c>
      <c r="J65" s="12" t="str">
        <f t="shared" si="1"/>
        <v>02/09/2026Free PeopleTops</v>
      </c>
    </row>
    <row r="66" spans="1:10" ht="15" customHeight="1" x14ac:dyDescent="0.35">
      <c r="A66" s="9">
        <f t="shared" ref="A66:A97" si="3">IF(B66="","",ROW()-1)</f>
        <v>65</v>
      </c>
      <c r="B66" s="7" t="s">
        <v>396</v>
      </c>
      <c r="C66" s="10">
        <v>46070</v>
      </c>
      <c r="D66" s="11">
        <v>39</v>
      </c>
      <c r="E66" s="8" t="s">
        <v>54</v>
      </c>
      <c r="F66" s="8" t="s">
        <v>332</v>
      </c>
      <c r="G66" s="7" t="s">
        <v>30</v>
      </c>
      <c r="H66" s="12" t="str">
        <f>IF(B66="","",VLOOKUP(B66,Items!A:I,3,FALSE))</f>
        <v>H&amp;M</v>
      </c>
      <c r="I66" s="12" t="str">
        <f>IF(B66="","",VLOOKUP(B66,Items!A:I,9,FALSE))</f>
        <v>Dresses</v>
      </c>
      <c r="J66" s="12" t="str">
        <f t="shared" si="1"/>
        <v>02/17/2026H&amp;MDresses</v>
      </c>
    </row>
    <row r="67" spans="1:10" ht="15" customHeight="1" x14ac:dyDescent="0.35">
      <c r="A67" s="9">
        <f t="shared" si="3"/>
        <v>66</v>
      </c>
      <c r="B67" s="7" t="s">
        <v>397</v>
      </c>
      <c r="C67" s="10">
        <v>46070</v>
      </c>
      <c r="D67" s="11">
        <v>9</v>
      </c>
      <c r="E67" s="8" t="s">
        <v>325</v>
      </c>
      <c r="F67" s="8"/>
      <c r="G67" s="7" t="s">
        <v>30</v>
      </c>
      <c r="H67" s="12" t="str">
        <f>IF(B67="","",VLOOKUP(B67,Items!A:I,3,FALSE))</f>
        <v>Nike</v>
      </c>
      <c r="I67" s="12" t="str">
        <f>IF(B67="","",VLOOKUP(B67,Items!A:I,9,FALSE))</f>
        <v>Bottoms</v>
      </c>
      <c r="J67" s="12" t="str">
        <f t="shared" ref="J67:J130" si="4">IF(B67="","",TEXT(C67,"MM/DD/YYYY")&amp;H67&amp;I67)</f>
        <v>02/17/2026NikeBottoms</v>
      </c>
    </row>
    <row r="68" spans="1:10" ht="15" customHeight="1" x14ac:dyDescent="0.35">
      <c r="A68" s="9">
        <f t="shared" si="3"/>
        <v>67</v>
      </c>
      <c r="B68" s="7" t="s">
        <v>398</v>
      </c>
      <c r="C68" s="10">
        <v>46077</v>
      </c>
      <c r="D68" s="11">
        <v>21</v>
      </c>
      <c r="E68" s="8" t="s">
        <v>126</v>
      </c>
      <c r="F68" s="8" t="s">
        <v>323</v>
      </c>
      <c r="G68" s="7" t="s">
        <v>30</v>
      </c>
      <c r="H68" s="12" t="str">
        <f>IF(B68="","",VLOOKUP(B68,Items!A:I,3,FALSE))</f>
        <v>Adidas</v>
      </c>
      <c r="I68" s="12" t="str">
        <f>IF(B68="","",VLOOKUP(B68,Items!A:I,9,FALSE))</f>
        <v>Tops</v>
      </c>
      <c r="J68" s="12" t="str">
        <f t="shared" si="4"/>
        <v>02/24/2026AdidasTops</v>
      </c>
    </row>
    <row r="69" spans="1:10" ht="15" customHeight="1" x14ac:dyDescent="0.35">
      <c r="A69" s="9">
        <f t="shared" si="3"/>
        <v>68</v>
      </c>
      <c r="B69" s="7" t="s">
        <v>399</v>
      </c>
      <c r="C69" s="10">
        <v>46077</v>
      </c>
      <c r="D69" s="11">
        <v>27</v>
      </c>
      <c r="E69" s="8" t="s">
        <v>126</v>
      </c>
      <c r="F69" s="8"/>
      <c r="G69" s="7" t="s">
        <v>30</v>
      </c>
      <c r="H69" s="12" t="str">
        <f>IF(B69="","",VLOOKUP(B69,Items!A:I,3,FALSE))</f>
        <v>Express</v>
      </c>
      <c r="I69" s="12" t="str">
        <f>IF(B69="","",VLOOKUP(B69,Items!A:I,9,FALSE))</f>
        <v>Bottoms</v>
      </c>
      <c r="J69" s="12" t="str">
        <f t="shared" si="4"/>
        <v>02/24/2026ExpressBottoms</v>
      </c>
    </row>
    <row r="70" spans="1:10" ht="15" customHeight="1" x14ac:dyDescent="0.35">
      <c r="A70" s="9">
        <f t="shared" si="3"/>
        <v>69</v>
      </c>
      <c r="B70" s="7" t="s">
        <v>400</v>
      </c>
      <c r="C70" s="10">
        <v>46077</v>
      </c>
      <c r="D70" s="11">
        <v>29</v>
      </c>
      <c r="E70" s="8" t="s">
        <v>54</v>
      </c>
      <c r="F70" s="8" t="s">
        <v>332</v>
      </c>
      <c r="G70" s="7" t="s">
        <v>23</v>
      </c>
      <c r="H70" s="12" t="str">
        <f>IF(B70="","",VLOOKUP(B70,Items!A:I,3,FALSE))</f>
        <v>Banana Republic</v>
      </c>
      <c r="I70" s="12" t="str">
        <f>IF(B70="","",VLOOKUP(B70,Items!A:I,9,FALSE))</f>
        <v>Dresses</v>
      </c>
      <c r="J70" s="12" t="str">
        <f t="shared" si="4"/>
        <v>02/24/2026Banana RepublicDresses</v>
      </c>
    </row>
    <row r="71" spans="1:10" ht="15" customHeight="1" x14ac:dyDescent="0.35">
      <c r="A71" s="9">
        <f t="shared" si="3"/>
        <v>70</v>
      </c>
      <c r="B71" s="7" t="s">
        <v>401</v>
      </c>
      <c r="C71" s="10">
        <v>46080</v>
      </c>
      <c r="D71" s="11">
        <v>11</v>
      </c>
      <c r="E71" s="8" t="s">
        <v>54</v>
      </c>
      <c r="F71" s="8" t="s">
        <v>332</v>
      </c>
      <c r="G71" s="7" t="s">
        <v>23</v>
      </c>
      <c r="H71" s="12" t="str">
        <f>IF(B71="","",VLOOKUP(B71,Items!A:I,3,FALSE))</f>
        <v>Express</v>
      </c>
      <c r="I71" s="12" t="str">
        <f>IF(B71="","",VLOOKUP(B71,Items!A:I,9,FALSE))</f>
        <v>Bottoms</v>
      </c>
      <c r="J71" s="12" t="str">
        <f t="shared" si="4"/>
        <v>02/27/2026ExpressBottoms</v>
      </c>
    </row>
    <row r="72" spans="1:10" ht="15" customHeight="1" x14ac:dyDescent="0.35">
      <c r="A72" s="9">
        <f t="shared" si="3"/>
        <v>71</v>
      </c>
      <c r="B72" s="7" t="s">
        <v>402</v>
      </c>
      <c r="C72" s="10">
        <v>46080</v>
      </c>
      <c r="D72" s="11">
        <v>33</v>
      </c>
      <c r="E72" s="8" t="s">
        <v>54</v>
      </c>
      <c r="F72" s="8"/>
      <c r="G72" s="7" t="s">
        <v>23</v>
      </c>
      <c r="H72" s="12" t="str">
        <f>IF(B72="","",VLOOKUP(B72,Items!A:I,3,FALSE))</f>
        <v>Self Esteem</v>
      </c>
      <c r="I72" s="12" t="str">
        <f>IF(B72="","",VLOOKUP(B72,Items!A:I,9,FALSE))</f>
        <v>Dresses</v>
      </c>
      <c r="J72" s="12" t="str">
        <f t="shared" si="4"/>
        <v>02/27/2026Self EsteemDresses</v>
      </c>
    </row>
    <row r="73" spans="1:10" ht="15" customHeight="1" x14ac:dyDescent="0.35">
      <c r="A73" s="9">
        <f t="shared" si="3"/>
        <v>72</v>
      </c>
      <c r="B73" s="7" t="s">
        <v>403</v>
      </c>
      <c r="C73" s="10">
        <v>46082</v>
      </c>
      <c r="D73" s="11">
        <v>23</v>
      </c>
      <c r="E73" s="8" t="s">
        <v>54</v>
      </c>
      <c r="F73" s="8"/>
      <c r="G73" s="7" t="s">
        <v>23</v>
      </c>
      <c r="H73" s="12" t="str">
        <f>IF(B73="","",VLOOKUP(B73,Items!A:I,3,FALSE))</f>
        <v>Tommy Hilfiger</v>
      </c>
      <c r="I73" s="12" t="str">
        <f>IF(B73="","",VLOOKUP(B73,Items!A:I,9,FALSE))</f>
        <v>Tops</v>
      </c>
      <c r="J73" s="12" t="str">
        <f t="shared" si="4"/>
        <v>03/01/2026Tommy HilfigerTops</v>
      </c>
    </row>
    <row r="74" spans="1:10" ht="15" customHeight="1" x14ac:dyDescent="0.35">
      <c r="A74" s="9">
        <f t="shared" si="3"/>
        <v>73</v>
      </c>
      <c r="B74" s="7" t="s">
        <v>404</v>
      </c>
      <c r="C74" s="10">
        <v>46085</v>
      </c>
      <c r="D74" s="11">
        <v>18</v>
      </c>
      <c r="E74" s="8" t="s">
        <v>54</v>
      </c>
      <c r="F74" s="8"/>
      <c r="G74" s="7" t="s">
        <v>32</v>
      </c>
      <c r="H74" s="12" t="str">
        <f>IF(B74="","",VLOOKUP(B74,Items!A:I,3,FALSE))</f>
        <v>Deb</v>
      </c>
      <c r="I74" s="12" t="str">
        <f>IF(B74="","",VLOOKUP(B74,Items!A:I,9,FALSE))</f>
        <v>Tops</v>
      </c>
      <c r="J74" s="12" t="str">
        <f t="shared" si="4"/>
        <v>03/04/2026DebTops</v>
      </c>
    </row>
    <row r="75" spans="1:10" ht="15" customHeight="1" x14ac:dyDescent="0.35">
      <c r="A75" s="9">
        <f t="shared" si="3"/>
        <v>74</v>
      </c>
      <c r="B75" s="7" t="s">
        <v>405</v>
      </c>
      <c r="C75" s="10">
        <v>46086</v>
      </c>
      <c r="D75" s="11">
        <v>20</v>
      </c>
      <c r="E75" s="8" t="s">
        <v>54</v>
      </c>
      <c r="F75" s="8"/>
      <c r="G75" s="7" t="s">
        <v>30</v>
      </c>
      <c r="H75" s="12" t="str">
        <f>IF(B75="","",VLOOKUP(B75,Items!A:I,3,FALSE))</f>
        <v>Apt. 9</v>
      </c>
      <c r="I75" s="12" t="str">
        <f>IF(B75="","",VLOOKUP(B75,Items!A:I,9,FALSE))</f>
        <v>Tops</v>
      </c>
      <c r="J75" s="12" t="str">
        <f t="shared" si="4"/>
        <v>03/05/2026Apt. 9Tops</v>
      </c>
    </row>
    <row r="76" spans="1:10" ht="15" customHeight="1" x14ac:dyDescent="0.35">
      <c r="A76" s="9">
        <f t="shared" si="3"/>
        <v>75</v>
      </c>
      <c r="B76" s="7" t="s">
        <v>406</v>
      </c>
      <c r="C76" s="10">
        <v>46087</v>
      </c>
      <c r="D76" s="11">
        <v>16</v>
      </c>
      <c r="E76" s="8" t="s">
        <v>325</v>
      </c>
      <c r="F76" s="8"/>
      <c r="G76" s="7" t="s">
        <v>30</v>
      </c>
      <c r="H76" s="12" t="str">
        <f>IF(B76="","",VLOOKUP(B76,Items!A:I,3,FALSE))</f>
        <v>Ralph Lauren</v>
      </c>
      <c r="I76" s="12" t="str">
        <f>IF(B76="","",VLOOKUP(B76,Items!A:I,9,FALSE))</f>
        <v>Tops</v>
      </c>
      <c r="J76" s="12" t="str">
        <f t="shared" si="4"/>
        <v>03/06/2026Ralph LaurenTops</v>
      </c>
    </row>
    <row r="77" spans="1:10" ht="15" customHeight="1" x14ac:dyDescent="0.35">
      <c r="A77" s="9">
        <f t="shared" si="3"/>
        <v>76</v>
      </c>
      <c r="B77" s="7" t="s">
        <v>407</v>
      </c>
      <c r="C77" s="10">
        <v>46087</v>
      </c>
      <c r="D77" s="11">
        <v>24</v>
      </c>
      <c r="E77" s="8" t="s">
        <v>53</v>
      </c>
      <c r="F77" s="8" t="s">
        <v>394</v>
      </c>
      <c r="G77" s="7" t="s">
        <v>30</v>
      </c>
      <c r="H77" s="12" t="str">
        <f>IF(B77="","",VLOOKUP(B77,Items!A:I,3,FALSE))</f>
        <v>Free People</v>
      </c>
      <c r="I77" s="12" t="str">
        <f>IF(B77="","",VLOOKUP(B77,Items!A:I,9,FALSE))</f>
        <v>Tops</v>
      </c>
      <c r="J77" s="12" t="str">
        <f t="shared" si="4"/>
        <v>03/06/2026Free PeopleTops</v>
      </c>
    </row>
    <row r="78" spans="1:10" ht="15" customHeight="1" x14ac:dyDescent="0.35">
      <c r="A78" s="9">
        <f t="shared" si="3"/>
        <v>77</v>
      </c>
      <c r="B78" s="7" t="s">
        <v>408</v>
      </c>
      <c r="C78" s="10">
        <v>46090</v>
      </c>
      <c r="D78" s="11">
        <v>19</v>
      </c>
      <c r="E78" s="8" t="s">
        <v>126</v>
      </c>
      <c r="F78" s="8" t="s">
        <v>348</v>
      </c>
      <c r="G78" s="7" t="s">
        <v>30</v>
      </c>
      <c r="H78" s="12" t="str">
        <f>IF(B78="","",VLOOKUP(B78,Items!A:I,3,FALSE))</f>
        <v>Forever 21</v>
      </c>
      <c r="I78" s="12" t="str">
        <f>IF(B78="","",VLOOKUP(B78,Items!A:I,9,FALSE))</f>
        <v>Bottoms</v>
      </c>
      <c r="J78" s="12" t="str">
        <f t="shared" si="4"/>
        <v>03/09/2026Forever 21Bottoms</v>
      </c>
    </row>
    <row r="79" spans="1:10" ht="15" customHeight="1" x14ac:dyDescent="0.35">
      <c r="A79" s="9">
        <f t="shared" si="3"/>
        <v>78</v>
      </c>
      <c r="B79" s="7" t="s">
        <v>409</v>
      </c>
      <c r="C79" s="10">
        <v>46092</v>
      </c>
      <c r="D79" s="11">
        <v>20</v>
      </c>
      <c r="E79" s="8" t="s">
        <v>126</v>
      </c>
      <c r="F79" s="8"/>
      <c r="G79" s="7" t="s">
        <v>23</v>
      </c>
      <c r="H79" s="12" t="str">
        <f>IF(B79="","",VLOOKUP(B79,Items!A:I,3,FALSE))</f>
        <v>Aerie</v>
      </c>
      <c r="I79" s="12" t="str">
        <f>IF(B79="","",VLOOKUP(B79,Items!A:I,9,FALSE))</f>
        <v>Jumpsuits/Rompers</v>
      </c>
      <c r="J79" s="12" t="str">
        <f t="shared" si="4"/>
        <v>03/11/2026AerieJumpsuits/Rompers</v>
      </c>
    </row>
    <row r="80" spans="1:10" ht="15" customHeight="1" x14ac:dyDescent="0.35">
      <c r="A80" s="9">
        <f t="shared" si="3"/>
        <v>79</v>
      </c>
      <c r="B80" s="7" t="s">
        <v>410</v>
      </c>
      <c r="C80" s="10">
        <v>46092</v>
      </c>
      <c r="D80" s="11">
        <v>13</v>
      </c>
      <c r="E80" s="8" t="s">
        <v>53</v>
      </c>
      <c r="F80" s="8" t="s">
        <v>411</v>
      </c>
      <c r="G80" s="7" t="s">
        <v>30</v>
      </c>
      <c r="H80" s="12" t="str">
        <f>IF(B80="","",VLOOKUP(B80,Items!A:I,3,FALSE))</f>
        <v>Self Esteem</v>
      </c>
      <c r="I80" s="12" t="str">
        <f>IF(B80="","",VLOOKUP(B80,Items!A:I,9,FALSE))</f>
        <v>Bottoms</v>
      </c>
      <c r="J80" s="12" t="str">
        <f t="shared" si="4"/>
        <v>03/11/2026Self EsteemBottoms</v>
      </c>
    </row>
    <row r="81" spans="1:10" ht="15" customHeight="1" x14ac:dyDescent="0.35">
      <c r="A81" s="9">
        <f t="shared" si="3"/>
        <v>80</v>
      </c>
      <c r="B81" s="7" t="s">
        <v>412</v>
      </c>
      <c r="C81" s="10">
        <v>46095</v>
      </c>
      <c r="D81" s="11">
        <v>21</v>
      </c>
      <c r="E81" s="8" t="s">
        <v>54</v>
      </c>
      <c r="F81" s="8"/>
      <c r="G81" s="7" t="s">
        <v>27</v>
      </c>
      <c r="H81" s="12" t="str">
        <f>IF(B81="","",VLOOKUP(B81,Items!A:I,3,FALSE))</f>
        <v>Aerie</v>
      </c>
      <c r="I81" s="12" t="str">
        <f>IF(B81="","",VLOOKUP(B81,Items!A:I,9,FALSE))</f>
        <v>Dresses</v>
      </c>
      <c r="J81" s="12" t="str">
        <f t="shared" si="4"/>
        <v>03/14/2026AerieDresses</v>
      </c>
    </row>
    <row r="82" spans="1:10" ht="15" customHeight="1" x14ac:dyDescent="0.35">
      <c r="A82" s="9">
        <f t="shared" si="3"/>
        <v>81</v>
      </c>
      <c r="B82" s="7" t="s">
        <v>413</v>
      </c>
      <c r="C82" s="10">
        <v>46096</v>
      </c>
      <c r="D82" s="11">
        <v>11</v>
      </c>
      <c r="E82" s="8" t="s">
        <v>54</v>
      </c>
      <c r="F82" s="8"/>
      <c r="G82" s="7" t="s">
        <v>30</v>
      </c>
      <c r="H82" s="12" t="str">
        <f>IF(B82="","",VLOOKUP(B82,Items!A:I,3,FALSE))</f>
        <v>Nike</v>
      </c>
      <c r="I82" s="12" t="str">
        <f>IF(B82="","",VLOOKUP(B82,Items!A:I,9,FALSE))</f>
        <v>Tops</v>
      </c>
      <c r="J82" s="12" t="str">
        <f t="shared" si="4"/>
        <v>03/15/2026NikeTops</v>
      </c>
    </row>
    <row r="83" spans="1:10" ht="15" customHeight="1" x14ac:dyDescent="0.35">
      <c r="A83" s="9">
        <f t="shared" si="3"/>
        <v>82</v>
      </c>
      <c r="B83" s="7" t="s">
        <v>414</v>
      </c>
      <c r="C83" s="10">
        <v>46096</v>
      </c>
      <c r="D83" s="11">
        <v>12</v>
      </c>
      <c r="E83" s="8" t="s">
        <v>54</v>
      </c>
      <c r="F83" s="8"/>
      <c r="G83" s="7" t="s">
        <v>27</v>
      </c>
      <c r="H83" s="12" t="str">
        <f>IF(B83="","",VLOOKUP(B83,Items!A:I,3,FALSE))</f>
        <v>Express</v>
      </c>
      <c r="I83" s="12" t="str">
        <f>IF(B83="","",VLOOKUP(B83,Items!A:I,9,FALSE))</f>
        <v>Footwear</v>
      </c>
      <c r="J83" s="12" t="str">
        <f t="shared" si="4"/>
        <v>03/15/2026ExpressFootwear</v>
      </c>
    </row>
    <row r="84" spans="1:10" ht="15" customHeight="1" x14ac:dyDescent="0.35">
      <c r="A84" s="9">
        <f t="shared" si="3"/>
        <v>83</v>
      </c>
      <c r="B84" s="7" t="s">
        <v>415</v>
      </c>
      <c r="C84" s="10">
        <v>46096</v>
      </c>
      <c r="D84" s="11">
        <v>25</v>
      </c>
      <c r="E84" s="8" t="s">
        <v>54</v>
      </c>
      <c r="F84" s="8"/>
      <c r="G84" s="7" t="s">
        <v>30</v>
      </c>
      <c r="H84" s="12" t="str">
        <f>IF(B84="","",VLOOKUP(B84,Items!A:I,3,FALSE))</f>
        <v>Zara</v>
      </c>
      <c r="I84" s="12" t="str">
        <f>IF(B84="","",VLOOKUP(B84,Items!A:I,9,FALSE))</f>
        <v>Tops</v>
      </c>
      <c r="J84" s="12" t="str">
        <f t="shared" si="4"/>
        <v>03/15/2026ZaraTops</v>
      </c>
    </row>
    <row r="85" spans="1:10" ht="15" customHeight="1" x14ac:dyDescent="0.35">
      <c r="A85" s="9">
        <f t="shared" si="3"/>
        <v>84</v>
      </c>
      <c r="B85" s="7" t="s">
        <v>416</v>
      </c>
      <c r="C85" s="10">
        <v>46102</v>
      </c>
      <c r="D85" s="11">
        <v>12</v>
      </c>
      <c r="E85" s="8" t="s">
        <v>54</v>
      </c>
      <c r="F85" s="8"/>
      <c r="G85" s="7" t="s">
        <v>30</v>
      </c>
      <c r="H85" s="12" t="str">
        <f>IF(B85="","",VLOOKUP(B85,Items!A:I,3,FALSE))</f>
        <v>Victoria's Secret</v>
      </c>
      <c r="I85" s="12" t="str">
        <f>IF(B85="","",VLOOKUP(B85,Items!A:I,9,FALSE))</f>
        <v>Tops</v>
      </c>
      <c r="J85" s="12" t="str">
        <f t="shared" si="4"/>
        <v>03/21/2026Victoria's SecretTops</v>
      </c>
    </row>
    <row r="86" spans="1:10" ht="15" customHeight="1" x14ac:dyDescent="0.35">
      <c r="A86" s="9">
        <f t="shared" si="3"/>
        <v>85</v>
      </c>
      <c r="B86" s="7" t="s">
        <v>417</v>
      </c>
      <c r="C86" s="10">
        <v>46102</v>
      </c>
      <c r="D86" s="11">
        <v>17</v>
      </c>
      <c r="E86" s="8" t="s">
        <v>54</v>
      </c>
      <c r="F86" s="8" t="s">
        <v>332</v>
      </c>
      <c r="G86" s="7" t="s">
        <v>30</v>
      </c>
      <c r="H86" s="12" t="str">
        <f>IF(B86="","",VLOOKUP(B86,Items!A:I,3,FALSE))</f>
        <v>Victoria's Secret</v>
      </c>
      <c r="I86" s="12" t="str">
        <f>IF(B86="","",VLOOKUP(B86,Items!A:I,9,FALSE))</f>
        <v>Bottoms</v>
      </c>
      <c r="J86" s="12" t="str">
        <f t="shared" si="4"/>
        <v>03/21/2026Victoria's SecretBottoms</v>
      </c>
    </row>
    <row r="87" spans="1:10" ht="15" customHeight="1" x14ac:dyDescent="0.35">
      <c r="A87" s="9">
        <f t="shared" si="3"/>
        <v>86</v>
      </c>
      <c r="B87" s="7" t="s">
        <v>418</v>
      </c>
      <c r="C87" s="10">
        <v>46103</v>
      </c>
      <c r="D87" s="11">
        <v>11</v>
      </c>
      <c r="E87" s="8" t="s">
        <v>126</v>
      </c>
      <c r="F87" s="8" t="s">
        <v>348</v>
      </c>
      <c r="G87" s="7" t="s">
        <v>30</v>
      </c>
      <c r="H87" s="12" t="str">
        <f>IF(B87="","",VLOOKUP(B87,Items!A:I,3,FALSE))</f>
        <v>Ralph Lauren</v>
      </c>
      <c r="I87" s="12" t="str">
        <f>IF(B87="","",VLOOKUP(B87,Items!A:I,9,FALSE))</f>
        <v>Jumpsuits/Rompers</v>
      </c>
      <c r="J87" s="12" t="str">
        <f t="shared" si="4"/>
        <v>03/22/2026Ralph LaurenJumpsuits/Rompers</v>
      </c>
    </row>
    <row r="88" spans="1:10" ht="15" customHeight="1" x14ac:dyDescent="0.35">
      <c r="A88" s="9">
        <f t="shared" si="3"/>
        <v>87</v>
      </c>
      <c r="B88" s="7" t="s">
        <v>419</v>
      </c>
      <c r="C88" s="10">
        <v>46106</v>
      </c>
      <c r="D88" s="11">
        <v>15</v>
      </c>
      <c r="E88" s="8" t="s">
        <v>54</v>
      </c>
      <c r="F88" s="8" t="s">
        <v>332</v>
      </c>
      <c r="G88" s="7" t="s">
        <v>30</v>
      </c>
      <c r="H88" s="12" t="str">
        <f>IF(B88="","",VLOOKUP(B88,Items!A:I,3,FALSE))</f>
        <v>Cotton Natural</v>
      </c>
      <c r="I88" s="12" t="str">
        <f>IF(B88="","",VLOOKUP(B88,Items!A:I,9,FALSE))</f>
        <v>Tops</v>
      </c>
      <c r="J88" s="12" t="str">
        <f t="shared" si="4"/>
        <v>03/25/2026Cotton NaturalTops</v>
      </c>
    </row>
    <row r="89" spans="1:10" ht="15" customHeight="1" x14ac:dyDescent="0.35">
      <c r="A89" s="9" t="str">
        <f t="shared" si="3"/>
        <v/>
      </c>
      <c r="B89" s="7"/>
      <c r="C89" s="10"/>
      <c r="D89" s="11"/>
      <c r="E89" s="8"/>
      <c r="F89" s="8"/>
      <c r="G89" s="7"/>
      <c r="H89" s="12" t="str">
        <f>IF(B89="","",VLOOKUP(B89,Items!A:I,3,FALSE))</f>
        <v/>
      </c>
      <c r="I89" s="12" t="str">
        <f>IF(B89="","",VLOOKUP(B89,Items!A:I,9,FALSE))</f>
        <v/>
      </c>
      <c r="J89" s="12" t="str">
        <f t="shared" si="4"/>
        <v/>
      </c>
    </row>
    <row r="90" spans="1:10" ht="15" customHeight="1" x14ac:dyDescent="0.35">
      <c r="A90" s="9" t="str">
        <f t="shared" si="3"/>
        <v/>
      </c>
      <c r="B90" s="7"/>
      <c r="C90" s="10"/>
      <c r="D90" s="11"/>
      <c r="E90" s="8"/>
      <c r="F90" s="8"/>
      <c r="G90" s="7"/>
      <c r="H90" s="12" t="str">
        <f>IF(B90="","",VLOOKUP(B90,Items!A:I,3,FALSE))</f>
        <v/>
      </c>
      <c r="I90" s="12" t="str">
        <f>IF(B90="","",VLOOKUP(B90,Items!A:I,9,FALSE))</f>
        <v/>
      </c>
      <c r="J90" s="12" t="str">
        <f t="shared" si="4"/>
        <v/>
      </c>
    </row>
    <row r="91" spans="1:10" ht="15" customHeight="1" x14ac:dyDescent="0.35">
      <c r="A91" s="9" t="str">
        <f t="shared" si="3"/>
        <v/>
      </c>
      <c r="B91" s="7"/>
      <c r="C91" s="10"/>
      <c r="D91" s="11"/>
      <c r="E91" s="8"/>
      <c r="F91" s="8"/>
      <c r="G91" s="7"/>
      <c r="H91" s="12" t="str">
        <f>IF(B91="","",VLOOKUP(B91,Items!A:I,3,FALSE))</f>
        <v/>
      </c>
      <c r="I91" s="12" t="str">
        <f>IF(B91="","",VLOOKUP(B91,Items!A:I,9,FALSE))</f>
        <v/>
      </c>
      <c r="J91" s="12" t="str">
        <f t="shared" si="4"/>
        <v/>
      </c>
    </row>
    <row r="92" spans="1:10" ht="15" customHeight="1" x14ac:dyDescent="0.35">
      <c r="A92" s="9" t="str">
        <f t="shared" si="3"/>
        <v/>
      </c>
      <c r="B92" s="7"/>
      <c r="C92" s="10"/>
      <c r="D92" s="11"/>
      <c r="E92" s="8"/>
      <c r="F92" s="8"/>
      <c r="G92" s="7"/>
      <c r="H92" s="12" t="str">
        <f>IF(B92="","",VLOOKUP(B92,Items!A:I,3,FALSE))</f>
        <v/>
      </c>
      <c r="I92" s="12" t="str">
        <f>IF(B92="","",VLOOKUP(B92,Items!A:I,9,FALSE))</f>
        <v/>
      </c>
      <c r="J92" s="12" t="str">
        <f t="shared" si="4"/>
        <v/>
      </c>
    </row>
    <row r="93" spans="1:10" ht="15" customHeight="1" x14ac:dyDescent="0.35">
      <c r="A93" s="9" t="str">
        <f t="shared" si="3"/>
        <v/>
      </c>
      <c r="B93" s="7"/>
      <c r="C93" s="10"/>
      <c r="D93" s="11"/>
      <c r="E93" s="8"/>
      <c r="F93" s="8"/>
      <c r="G93" s="7"/>
      <c r="H93" s="12" t="str">
        <f>IF(B93="","",VLOOKUP(B93,Items!A:I,3,FALSE))</f>
        <v/>
      </c>
      <c r="I93" s="12" t="str">
        <f>IF(B93="","",VLOOKUP(B93,Items!A:I,9,FALSE))</f>
        <v/>
      </c>
      <c r="J93" s="12" t="str">
        <f t="shared" si="4"/>
        <v/>
      </c>
    </row>
    <row r="94" spans="1:10" ht="15" customHeight="1" x14ac:dyDescent="0.35">
      <c r="A94" s="9" t="str">
        <f t="shared" si="3"/>
        <v/>
      </c>
      <c r="B94" s="7"/>
      <c r="C94" s="10"/>
      <c r="D94" s="11"/>
      <c r="E94" s="8"/>
      <c r="F94" s="8"/>
      <c r="G94" s="7"/>
      <c r="H94" s="12" t="str">
        <f>IF(B94="","",VLOOKUP(B94,Items!A:I,3,FALSE))</f>
        <v/>
      </c>
      <c r="I94" s="12" t="str">
        <f>IF(B94="","",VLOOKUP(B94,Items!A:I,9,FALSE))</f>
        <v/>
      </c>
      <c r="J94" s="12" t="str">
        <f t="shared" si="4"/>
        <v/>
      </c>
    </row>
    <row r="95" spans="1:10" ht="15" customHeight="1" x14ac:dyDescent="0.35">
      <c r="A95" s="9" t="str">
        <f t="shared" si="3"/>
        <v/>
      </c>
      <c r="B95" s="7"/>
      <c r="C95" s="10"/>
      <c r="D95" s="11"/>
      <c r="E95" s="8"/>
      <c r="F95" s="8"/>
      <c r="G95" s="7"/>
      <c r="H95" s="12" t="str">
        <f>IF(B95="","",VLOOKUP(B95,Items!A:I,3,FALSE))</f>
        <v/>
      </c>
      <c r="I95" s="12" t="str">
        <f>IF(B95="","",VLOOKUP(B95,Items!A:I,9,FALSE))</f>
        <v/>
      </c>
      <c r="J95" s="12" t="str">
        <f t="shared" si="4"/>
        <v/>
      </c>
    </row>
    <row r="96" spans="1:10" ht="15" customHeight="1" x14ac:dyDescent="0.35">
      <c r="A96" s="9" t="str">
        <f t="shared" si="3"/>
        <v/>
      </c>
      <c r="B96" s="7"/>
      <c r="C96" s="10"/>
      <c r="D96" s="11"/>
      <c r="E96" s="8"/>
      <c r="F96" s="8"/>
      <c r="G96" s="7"/>
      <c r="H96" s="12" t="str">
        <f>IF(B96="","",VLOOKUP(B96,Items!A:I,3,FALSE))</f>
        <v/>
      </c>
      <c r="I96" s="12" t="str">
        <f>IF(B96="","",VLOOKUP(B96,Items!A:I,9,FALSE))</f>
        <v/>
      </c>
      <c r="J96" s="12" t="str">
        <f t="shared" si="4"/>
        <v/>
      </c>
    </row>
    <row r="97" spans="1:10" ht="15" customHeight="1" x14ac:dyDescent="0.35">
      <c r="A97" s="9" t="str">
        <f t="shared" si="3"/>
        <v/>
      </c>
      <c r="B97" s="7"/>
      <c r="C97" s="10"/>
      <c r="D97" s="11"/>
      <c r="E97" s="8"/>
      <c r="F97" s="8"/>
      <c r="G97" s="7"/>
      <c r="H97" s="12" t="str">
        <f>IF(B97="","",VLOOKUP(B97,Items!A:I,3,FALSE))</f>
        <v/>
      </c>
      <c r="I97" s="12" t="str">
        <f>IF(B97="","",VLOOKUP(B97,Items!A:I,9,FALSE))</f>
        <v/>
      </c>
      <c r="J97" s="12" t="str">
        <f t="shared" si="4"/>
        <v/>
      </c>
    </row>
    <row r="98" spans="1:10" ht="15" customHeight="1" x14ac:dyDescent="0.35">
      <c r="A98" s="9" t="str">
        <f t="shared" ref="A98:A129" si="5">IF(B98="","",ROW()-1)</f>
        <v/>
      </c>
      <c r="B98" s="7"/>
      <c r="C98" s="10"/>
      <c r="D98" s="11"/>
      <c r="E98" s="8"/>
      <c r="F98" s="8"/>
      <c r="G98" s="7"/>
      <c r="H98" s="12" t="str">
        <f>IF(B98="","",VLOOKUP(B98,Items!A:I,3,FALSE))</f>
        <v/>
      </c>
      <c r="I98" s="12" t="str">
        <f>IF(B98="","",VLOOKUP(B98,Items!A:I,9,FALSE))</f>
        <v/>
      </c>
      <c r="J98" s="12" t="str">
        <f t="shared" si="4"/>
        <v/>
      </c>
    </row>
    <row r="99" spans="1:10" ht="15" customHeight="1" x14ac:dyDescent="0.35">
      <c r="A99" s="9" t="str">
        <f t="shared" si="5"/>
        <v/>
      </c>
      <c r="B99" s="7"/>
      <c r="C99" s="10"/>
      <c r="D99" s="11"/>
      <c r="E99" s="8"/>
      <c r="F99" s="8"/>
      <c r="G99" s="7"/>
      <c r="H99" s="12" t="str">
        <f>IF(B99="","",VLOOKUP(B99,Items!A:I,3,FALSE))</f>
        <v/>
      </c>
      <c r="I99" s="12" t="str">
        <f>IF(B99="","",VLOOKUP(B99,Items!A:I,9,FALSE))</f>
        <v/>
      </c>
      <c r="J99" s="12" t="str">
        <f t="shared" si="4"/>
        <v/>
      </c>
    </row>
    <row r="100" spans="1:10" ht="15" customHeight="1" x14ac:dyDescent="0.35">
      <c r="A100" s="9" t="str">
        <f t="shared" si="5"/>
        <v/>
      </c>
      <c r="B100" s="7"/>
      <c r="C100" s="10"/>
      <c r="D100" s="11"/>
      <c r="E100" s="8"/>
      <c r="F100" s="8"/>
      <c r="G100" s="7"/>
      <c r="H100" s="12" t="str">
        <f>IF(B100="","",VLOOKUP(B100,Items!A:I,3,FALSE))</f>
        <v/>
      </c>
      <c r="I100" s="12" t="str">
        <f>IF(B100="","",VLOOKUP(B100,Items!A:I,9,FALSE))</f>
        <v/>
      </c>
      <c r="J100" s="12" t="str">
        <f t="shared" si="4"/>
        <v/>
      </c>
    </row>
    <row r="101" spans="1:10" ht="15" customHeight="1" x14ac:dyDescent="0.35">
      <c r="A101" s="9" t="str">
        <f t="shared" si="5"/>
        <v/>
      </c>
      <c r="B101" s="7"/>
      <c r="C101" s="10"/>
      <c r="D101" s="11"/>
      <c r="E101" s="8"/>
      <c r="F101" s="8"/>
      <c r="G101" s="7"/>
      <c r="H101" s="12" t="str">
        <f>IF(B101="","",VLOOKUP(B101,Items!A:I,3,FALSE))</f>
        <v/>
      </c>
      <c r="I101" s="12" t="str">
        <f>IF(B101="","",VLOOKUP(B101,Items!A:I,9,FALSE))</f>
        <v/>
      </c>
      <c r="J101" s="12" t="str">
        <f t="shared" si="4"/>
        <v/>
      </c>
    </row>
    <row r="102" spans="1:10" ht="15" customHeight="1" x14ac:dyDescent="0.35">
      <c r="A102" s="9" t="str">
        <f t="shared" si="5"/>
        <v/>
      </c>
      <c r="B102" s="7"/>
      <c r="C102" s="10"/>
      <c r="D102" s="11"/>
      <c r="E102" s="8"/>
      <c r="F102" s="8"/>
      <c r="G102" s="7"/>
      <c r="H102" s="12" t="str">
        <f>IF(B102="","",VLOOKUP(B102,Items!A:I,3,FALSE))</f>
        <v/>
      </c>
      <c r="I102" s="12" t="str">
        <f>IF(B102="","",VLOOKUP(B102,Items!A:I,9,FALSE))</f>
        <v/>
      </c>
      <c r="J102" s="12" t="str">
        <f t="shared" si="4"/>
        <v/>
      </c>
    </row>
    <row r="103" spans="1:10" ht="15" customHeight="1" x14ac:dyDescent="0.35">
      <c r="A103" s="9" t="str">
        <f t="shared" si="5"/>
        <v/>
      </c>
      <c r="B103" s="7"/>
      <c r="C103" s="10"/>
      <c r="D103" s="11"/>
      <c r="E103" s="8"/>
      <c r="F103" s="8"/>
      <c r="G103" s="7"/>
      <c r="H103" s="12" t="str">
        <f>IF(B103="","",VLOOKUP(B103,Items!A:I,3,FALSE))</f>
        <v/>
      </c>
      <c r="I103" s="12" t="str">
        <f>IF(B103="","",VLOOKUP(B103,Items!A:I,9,FALSE))</f>
        <v/>
      </c>
      <c r="J103" s="12" t="str">
        <f t="shared" si="4"/>
        <v/>
      </c>
    </row>
    <row r="104" spans="1:10" ht="15" customHeight="1" x14ac:dyDescent="0.35">
      <c r="A104" s="9" t="str">
        <f t="shared" si="5"/>
        <v/>
      </c>
      <c r="B104" s="7"/>
      <c r="C104" s="10"/>
      <c r="D104" s="11"/>
      <c r="E104" s="8"/>
      <c r="F104" s="8"/>
      <c r="G104" s="7"/>
      <c r="H104" s="12" t="str">
        <f>IF(B104="","",VLOOKUP(B104,Items!A:I,3,FALSE))</f>
        <v/>
      </c>
      <c r="I104" s="12" t="str">
        <f>IF(B104="","",VLOOKUP(B104,Items!A:I,9,FALSE))</f>
        <v/>
      </c>
      <c r="J104" s="12" t="str">
        <f t="shared" si="4"/>
        <v/>
      </c>
    </row>
    <row r="105" spans="1:10" ht="15" customHeight="1" x14ac:dyDescent="0.35">
      <c r="A105" s="9" t="str">
        <f t="shared" si="5"/>
        <v/>
      </c>
      <c r="B105" s="7"/>
      <c r="C105" s="10"/>
      <c r="D105" s="11"/>
      <c r="E105" s="8"/>
      <c r="F105" s="8"/>
      <c r="G105" s="7"/>
      <c r="H105" s="12" t="str">
        <f>IF(B105="","",VLOOKUP(B105,Items!A:I,3,FALSE))</f>
        <v/>
      </c>
      <c r="I105" s="12" t="str">
        <f>IF(B105="","",VLOOKUP(B105,Items!A:I,9,FALSE))</f>
        <v/>
      </c>
      <c r="J105" s="12" t="str">
        <f t="shared" si="4"/>
        <v/>
      </c>
    </row>
    <row r="106" spans="1:10" ht="15" customHeight="1" x14ac:dyDescent="0.35">
      <c r="A106" s="9" t="str">
        <f t="shared" si="5"/>
        <v/>
      </c>
      <c r="B106" s="7"/>
      <c r="C106" s="10"/>
      <c r="D106" s="11"/>
      <c r="E106" s="8"/>
      <c r="F106" s="8"/>
      <c r="G106" s="7"/>
      <c r="H106" s="12" t="str">
        <f>IF(B106="","",VLOOKUP(B106,Items!A:I,3,FALSE))</f>
        <v/>
      </c>
      <c r="I106" s="12" t="str">
        <f>IF(B106="","",VLOOKUP(B106,Items!A:I,9,FALSE))</f>
        <v/>
      </c>
      <c r="J106" s="12" t="str">
        <f t="shared" si="4"/>
        <v/>
      </c>
    </row>
    <row r="107" spans="1:10" ht="15" customHeight="1" x14ac:dyDescent="0.35">
      <c r="A107" s="9" t="str">
        <f t="shared" si="5"/>
        <v/>
      </c>
      <c r="B107" s="7"/>
      <c r="C107" s="10"/>
      <c r="D107" s="11"/>
      <c r="E107" s="8"/>
      <c r="F107" s="8"/>
      <c r="G107" s="7"/>
      <c r="H107" s="12" t="str">
        <f>IF(B107="","",VLOOKUP(B107,Items!A:I,3,FALSE))</f>
        <v/>
      </c>
      <c r="I107" s="12" t="str">
        <f>IF(B107="","",VLOOKUP(B107,Items!A:I,9,FALSE))</f>
        <v/>
      </c>
      <c r="J107" s="12" t="str">
        <f t="shared" si="4"/>
        <v/>
      </c>
    </row>
    <row r="108" spans="1:10" ht="15" customHeight="1" x14ac:dyDescent="0.35">
      <c r="A108" s="9" t="str">
        <f t="shared" si="5"/>
        <v/>
      </c>
      <c r="B108" s="7"/>
      <c r="C108" s="10"/>
      <c r="D108" s="11"/>
      <c r="E108" s="8"/>
      <c r="F108" s="8"/>
      <c r="G108" s="7"/>
      <c r="H108" s="12" t="str">
        <f>IF(B108="","",VLOOKUP(B108,Items!A:I,3,FALSE))</f>
        <v/>
      </c>
      <c r="I108" s="12" t="str">
        <f>IF(B108="","",VLOOKUP(B108,Items!A:I,9,FALSE))</f>
        <v/>
      </c>
      <c r="J108" s="12" t="str">
        <f t="shared" si="4"/>
        <v/>
      </c>
    </row>
    <row r="109" spans="1:10" ht="15" customHeight="1" x14ac:dyDescent="0.35">
      <c r="A109" s="9" t="str">
        <f t="shared" si="5"/>
        <v/>
      </c>
      <c r="B109" s="7"/>
      <c r="C109" s="10"/>
      <c r="D109" s="11"/>
      <c r="E109" s="8"/>
      <c r="F109" s="8"/>
      <c r="G109" s="7"/>
      <c r="H109" s="12" t="str">
        <f>IF(B109="","",VLOOKUP(B109,Items!A:I,3,FALSE))</f>
        <v/>
      </c>
      <c r="I109" s="12" t="str">
        <f>IF(B109="","",VLOOKUP(B109,Items!A:I,9,FALSE))</f>
        <v/>
      </c>
      <c r="J109" s="12" t="str">
        <f t="shared" si="4"/>
        <v/>
      </c>
    </row>
    <row r="110" spans="1:10" ht="15" customHeight="1" x14ac:dyDescent="0.35">
      <c r="A110" s="9" t="str">
        <f t="shared" si="5"/>
        <v/>
      </c>
      <c r="B110" s="7"/>
      <c r="C110" s="10"/>
      <c r="D110" s="11"/>
      <c r="E110" s="8"/>
      <c r="F110" s="8"/>
      <c r="G110" s="7"/>
      <c r="H110" s="12" t="str">
        <f>IF(B110="","",VLOOKUP(B110,Items!A:I,3,FALSE))</f>
        <v/>
      </c>
      <c r="I110" s="12" t="str">
        <f>IF(B110="","",VLOOKUP(B110,Items!A:I,9,FALSE))</f>
        <v/>
      </c>
      <c r="J110" s="12" t="str">
        <f t="shared" si="4"/>
        <v/>
      </c>
    </row>
    <row r="111" spans="1:10" ht="15" customHeight="1" x14ac:dyDescent="0.35">
      <c r="A111" s="9" t="str">
        <f t="shared" si="5"/>
        <v/>
      </c>
      <c r="B111" s="7"/>
      <c r="C111" s="10"/>
      <c r="D111" s="11"/>
      <c r="E111" s="8"/>
      <c r="F111" s="8"/>
      <c r="G111" s="7"/>
      <c r="H111" s="12" t="str">
        <f>IF(B111="","",VLOOKUP(B111,Items!A:I,3,FALSE))</f>
        <v/>
      </c>
      <c r="I111" s="12" t="str">
        <f>IF(B111="","",VLOOKUP(B111,Items!A:I,9,FALSE))</f>
        <v/>
      </c>
      <c r="J111" s="12" t="str">
        <f t="shared" si="4"/>
        <v/>
      </c>
    </row>
    <row r="112" spans="1:10" ht="15" customHeight="1" x14ac:dyDescent="0.35">
      <c r="A112" s="9" t="str">
        <f t="shared" si="5"/>
        <v/>
      </c>
      <c r="B112" s="7"/>
      <c r="C112" s="10"/>
      <c r="D112" s="11"/>
      <c r="E112" s="8"/>
      <c r="F112" s="8"/>
      <c r="G112" s="7"/>
      <c r="H112" s="12" t="str">
        <f>IF(B112="","",VLOOKUP(B112,Items!A:I,3,FALSE))</f>
        <v/>
      </c>
      <c r="I112" s="12" t="str">
        <f>IF(B112="","",VLOOKUP(B112,Items!A:I,9,FALSE))</f>
        <v/>
      </c>
      <c r="J112" s="12" t="str">
        <f t="shared" si="4"/>
        <v/>
      </c>
    </row>
    <row r="113" spans="1:10" ht="15" customHeight="1" x14ac:dyDescent="0.35">
      <c r="A113" s="9" t="str">
        <f t="shared" si="5"/>
        <v/>
      </c>
      <c r="B113" s="7"/>
      <c r="C113" s="10"/>
      <c r="D113" s="11"/>
      <c r="E113" s="8"/>
      <c r="F113" s="8"/>
      <c r="G113" s="7"/>
      <c r="H113" s="12" t="str">
        <f>IF(B113="","",VLOOKUP(B113,Items!A:I,3,FALSE))</f>
        <v/>
      </c>
      <c r="I113" s="12" t="str">
        <f>IF(B113="","",VLOOKUP(B113,Items!A:I,9,FALSE))</f>
        <v/>
      </c>
      <c r="J113" s="12" t="str">
        <f t="shared" si="4"/>
        <v/>
      </c>
    </row>
    <row r="114" spans="1:10" ht="15" customHeight="1" x14ac:dyDescent="0.35">
      <c r="A114" s="9" t="str">
        <f t="shared" si="5"/>
        <v/>
      </c>
      <c r="B114" s="7"/>
      <c r="C114" s="10"/>
      <c r="D114" s="11"/>
      <c r="E114" s="8"/>
      <c r="F114" s="8"/>
      <c r="G114" s="7"/>
      <c r="H114" s="12" t="str">
        <f>IF(B114="","",VLOOKUP(B114,Items!A:I,3,FALSE))</f>
        <v/>
      </c>
      <c r="I114" s="12" t="str">
        <f>IF(B114="","",VLOOKUP(B114,Items!A:I,9,FALSE))</f>
        <v/>
      </c>
      <c r="J114" s="12" t="str">
        <f t="shared" si="4"/>
        <v/>
      </c>
    </row>
    <row r="115" spans="1:10" ht="15" customHeight="1" x14ac:dyDescent="0.35">
      <c r="A115" s="9" t="str">
        <f t="shared" si="5"/>
        <v/>
      </c>
      <c r="B115" s="7"/>
      <c r="C115" s="10"/>
      <c r="D115" s="11"/>
      <c r="E115" s="8"/>
      <c r="F115" s="8"/>
      <c r="G115" s="7"/>
      <c r="H115" s="12" t="str">
        <f>IF(B115="","",VLOOKUP(B115,Items!A:I,3,FALSE))</f>
        <v/>
      </c>
      <c r="I115" s="12" t="str">
        <f>IF(B115="","",VLOOKUP(B115,Items!A:I,9,FALSE))</f>
        <v/>
      </c>
      <c r="J115" s="12" t="str">
        <f t="shared" si="4"/>
        <v/>
      </c>
    </row>
    <row r="116" spans="1:10" ht="15" customHeight="1" x14ac:dyDescent="0.35">
      <c r="A116" s="9" t="str">
        <f t="shared" si="5"/>
        <v/>
      </c>
      <c r="B116" s="7"/>
      <c r="C116" s="10"/>
      <c r="D116" s="11"/>
      <c r="E116" s="8"/>
      <c r="F116" s="8"/>
      <c r="G116" s="7"/>
      <c r="H116" s="12" t="str">
        <f>IF(B116="","",VLOOKUP(B116,Items!A:I,3,FALSE))</f>
        <v/>
      </c>
      <c r="I116" s="12" t="str">
        <f>IF(B116="","",VLOOKUP(B116,Items!A:I,9,FALSE))</f>
        <v/>
      </c>
      <c r="J116" s="12" t="str">
        <f t="shared" si="4"/>
        <v/>
      </c>
    </row>
    <row r="117" spans="1:10" ht="15" customHeight="1" x14ac:dyDescent="0.35">
      <c r="A117" s="9" t="str">
        <f t="shared" si="5"/>
        <v/>
      </c>
      <c r="B117" s="7"/>
      <c r="C117" s="10"/>
      <c r="D117" s="11"/>
      <c r="E117" s="8"/>
      <c r="F117" s="8"/>
      <c r="G117" s="7"/>
      <c r="H117" s="12" t="str">
        <f>IF(B117="","",VLOOKUP(B117,Items!A:I,3,FALSE))</f>
        <v/>
      </c>
      <c r="I117" s="12" t="str">
        <f>IF(B117="","",VLOOKUP(B117,Items!A:I,9,FALSE))</f>
        <v/>
      </c>
      <c r="J117" s="12" t="str">
        <f t="shared" si="4"/>
        <v/>
      </c>
    </row>
    <row r="118" spans="1:10" ht="15" customHeight="1" x14ac:dyDescent="0.35">
      <c r="A118" s="9" t="str">
        <f t="shared" si="5"/>
        <v/>
      </c>
      <c r="B118" s="7"/>
      <c r="C118" s="10"/>
      <c r="D118" s="11"/>
      <c r="E118" s="8"/>
      <c r="F118" s="8"/>
      <c r="G118" s="7"/>
      <c r="H118" s="12" t="str">
        <f>IF(B118="","",VLOOKUP(B118,Items!A:I,3,FALSE))</f>
        <v/>
      </c>
      <c r="I118" s="12" t="str">
        <f>IF(B118="","",VLOOKUP(B118,Items!A:I,9,FALSE))</f>
        <v/>
      </c>
      <c r="J118" s="12" t="str">
        <f t="shared" si="4"/>
        <v/>
      </c>
    </row>
    <row r="119" spans="1:10" ht="15" customHeight="1" x14ac:dyDescent="0.35">
      <c r="A119" s="9" t="str">
        <f t="shared" si="5"/>
        <v/>
      </c>
      <c r="B119" s="7"/>
      <c r="C119" s="10"/>
      <c r="D119" s="11"/>
      <c r="E119" s="8"/>
      <c r="F119" s="8"/>
      <c r="G119" s="7"/>
      <c r="H119" s="12" t="str">
        <f>IF(B119="","",VLOOKUP(B119,Items!A:I,3,FALSE))</f>
        <v/>
      </c>
      <c r="I119" s="12" t="str">
        <f>IF(B119="","",VLOOKUP(B119,Items!A:I,9,FALSE))</f>
        <v/>
      </c>
      <c r="J119" s="12" t="str">
        <f t="shared" si="4"/>
        <v/>
      </c>
    </row>
    <row r="120" spans="1:10" ht="15" customHeight="1" x14ac:dyDescent="0.35">
      <c r="A120" s="9" t="str">
        <f t="shared" si="5"/>
        <v/>
      </c>
      <c r="B120" s="7"/>
      <c r="C120" s="10"/>
      <c r="D120" s="11"/>
      <c r="E120" s="8"/>
      <c r="F120" s="8"/>
      <c r="G120" s="7"/>
      <c r="H120" s="12" t="str">
        <f>IF(B120="","",VLOOKUP(B120,Items!A:I,3,FALSE))</f>
        <v/>
      </c>
      <c r="I120" s="12" t="str">
        <f>IF(B120="","",VLOOKUP(B120,Items!A:I,9,FALSE))</f>
        <v/>
      </c>
      <c r="J120" s="12" t="str">
        <f t="shared" si="4"/>
        <v/>
      </c>
    </row>
    <row r="121" spans="1:10" ht="15" customHeight="1" x14ac:dyDescent="0.35">
      <c r="A121" s="9" t="str">
        <f t="shared" si="5"/>
        <v/>
      </c>
      <c r="B121" s="7"/>
      <c r="C121" s="10"/>
      <c r="D121" s="11"/>
      <c r="E121" s="8"/>
      <c r="F121" s="8"/>
      <c r="G121" s="7"/>
      <c r="H121" s="12" t="str">
        <f>IF(B121="","",VLOOKUP(B121,Items!A:I,3,FALSE))</f>
        <v/>
      </c>
      <c r="I121" s="12" t="str">
        <f>IF(B121="","",VLOOKUP(B121,Items!A:I,9,FALSE))</f>
        <v/>
      </c>
      <c r="J121" s="12" t="str">
        <f t="shared" si="4"/>
        <v/>
      </c>
    </row>
    <row r="122" spans="1:10" ht="15" customHeight="1" x14ac:dyDescent="0.35">
      <c r="A122" s="9" t="str">
        <f t="shared" si="5"/>
        <v/>
      </c>
      <c r="B122" s="7"/>
      <c r="C122" s="10"/>
      <c r="D122" s="11"/>
      <c r="E122" s="8"/>
      <c r="F122" s="8"/>
      <c r="G122" s="7"/>
      <c r="H122" s="12" t="str">
        <f>IF(B122="","",VLOOKUP(B122,Items!A:I,3,FALSE))</f>
        <v/>
      </c>
      <c r="I122" s="12" t="str">
        <f>IF(B122="","",VLOOKUP(B122,Items!A:I,9,FALSE))</f>
        <v/>
      </c>
      <c r="J122" s="12" t="str">
        <f t="shared" si="4"/>
        <v/>
      </c>
    </row>
    <row r="123" spans="1:10" ht="15" customHeight="1" x14ac:dyDescent="0.35">
      <c r="A123" s="9" t="str">
        <f t="shared" si="5"/>
        <v/>
      </c>
      <c r="B123" s="7"/>
      <c r="C123" s="10"/>
      <c r="D123" s="11"/>
      <c r="E123" s="8"/>
      <c r="F123" s="8"/>
      <c r="G123" s="7"/>
      <c r="H123" s="12" t="str">
        <f>IF(B123="","",VLOOKUP(B123,Items!A:I,3,FALSE))</f>
        <v/>
      </c>
      <c r="I123" s="12" t="str">
        <f>IF(B123="","",VLOOKUP(B123,Items!A:I,9,FALSE))</f>
        <v/>
      </c>
      <c r="J123" s="12" t="str">
        <f t="shared" si="4"/>
        <v/>
      </c>
    </row>
    <row r="124" spans="1:10" ht="15" customHeight="1" x14ac:dyDescent="0.35">
      <c r="A124" s="9" t="str">
        <f t="shared" si="5"/>
        <v/>
      </c>
      <c r="B124" s="7"/>
      <c r="C124" s="10"/>
      <c r="D124" s="11"/>
      <c r="E124" s="8"/>
      <c r="F124" s="8"/>
      <c r="G124" s="7"/>
      <c r="H124" s="12" t="str">
        <f>IF(B124="","",VLOOKUP(B124,Items!A:I,3,FALSE))</f>
        <v/>
      </c>
      <c r="I124" s="12" t="str">
        <f>IF(B124="","",VLOOKUP(B124,Items!A:I,9,FALSE))</f>
        <v/>
      </c>
      <c r="J124" s="12" t="str">
        <f t="shared" si="4"/>
        <v/>
      </c>
    </row>
    <row r="125" spans="1:10" ht="15" customHeight="1" x14ac:dyDescent="0.35">
      <c r="A125" s="9" t="str">
        <f t="shared" si="5"/>
        <v/>
      </c>
      <c r="B125" s="7"/>
      <c r="C125" s="10"/>
      <c r="D125" s="11"/>
      <c r="E125" s="8"/>
      <c r="F125" s="8"/>
      <c r="G125" s="7"/>
      <c r="H125" s="12" t="str">
        <f>IF(B125="","",VLOOKUP(B125,Items!A:I,3,FALSE))</f>
        <v/>
      </c>
      <c r="I125" s="12" t="str">
        <f>IF(B125="","",VLOOKUP(B125,Items!A:I,9,FALSE))</f>
        <v/>
      </c>
      <c r="J125" s="12" t="str">
        <f t="shared" si="4"/>
        <v/>
      </c>
    </row>
    <row r="126" spans="1:10" ht="15" customHeight="1" x14ac:dyDescent="0.35">
      <c r="A126" s="9" t="str">
        <f t="shared" si="5"/>
        <v/>
      </c>
      <c r="B126" s="7"/>
      <c r="C126" s="10"/>
      <c r="D126" s="11"/>
      <c r="E126" s="8"/>
      <c r="F126" s="8"/>
      <c r="G126" s="7"/>
      <c r="H126" s="12" t="str">
        <f>IF(B126="","",VLOOKUP(B126,Items!A:I,3,FALSE))</f>
        <v/>
      </c>
      <c r="I126" s="12" t="str">
        <f>IF(B126="","",VLOOKUP(B126,Items!A:I,9,FALSE))</f>
        <v/>
      </c>
      <c r="J126" s="12" t="str">
        <f t="shared" si="4"/>
        <v/>
      </c>
    </row>
    <row r="127" spans="1:10" ht="15" customHeight="1" x14ac:dyDescent="0.35">
      <c r="A127" s="9" t="str">
        <f t="shared" si="5"/>
        <v/>
      </c>
      <c r="B127" s="7"/>
      <c r="C127" s="10"/>
      <c r="D127" s="11"/>
      <c r="E127" s="8"/>
      <c r="F127" s="8"/>
      <c r="G127" s="7"/>
      <c r="H127" s="12" t="str">
        <f>IF(B127="","",VLOOKUP(B127,Items!A:I,3,FALSE))</f>
        <v/>
      </c>
      <c r="I127" s="12" t="str">
        <f>IF(B127="","",VLOOKUP(B127,Items!A:I,9,FALSE))</f>
        <v/>
      </c>
      <c r="J127" s="12" t="str">
        <f t="shared" si="4"/>
        <v/>
      </c>
    </row>
    <row r="128" spans="1:10" ht="15" customHeight="1" x14ac:dyDescent="0.35">
      <c r="A128" s="9" t="str">
        <f t="shared" si="5"/>
        <v/>
      </c>
      <c r="B128" s="7"/>
      <c r="C128" s="10"/>
      <c r="D128" s="11"/>
      <c r="E128" s="8"/>
      <c r="F128" s="8"/>
      <c r="G128" s="7"/>
      <c r="H128" s="12" t="str">
        <f>IF(B128="","",VLOOKUP(B128,Items!A:I,3,FALSE))</f>
        <v/>
      </c>
      <c r="I128" s="12" t="str">
        <f>IF(B128="","",VLOOKUP(B128,Items!A:I,9,FALSE))</f>
        <v/>
      </c>
      <c r="J128" s="12" t="str">
        <f t="shared" si="4"/>
        <v/>
      </c>
    </row>
    <row r="129" spans="1:10" ht="15" customHeight="1" x14ac:dyDescent="0.35">
      <c r="A129" s="9" t="str">
        <f t="shared" si="5"/>
        <v/>
      </c>
      <c r="B129" s="7"/>
      <c r="C129" s="10"/>
      <c r="D129" s="11"/>
      <c r="E129" s="8"/>
      <c r="F129" s="8"/>
      <c r="G129" s="7"/>
      <c r="H129" s="12" t="str">
        <f>IF(B129="","",VLOOKUP(B129,Items!A:I,3,FALSE))</f>
        <v/>
      </c>
      <c r="I129" s="12" t="str">
        <f>IF(B129="","",VLOOKUP(B129,Items!A:I,9,FALSE))</f>
        <v/>
      </c>
      <c r="J129" s="12" t="str">
        <f t="shared" si="4"/>
        <v/>
      </c>
    </row>
    <row r="130" spans="1:10" ht="15" customHeight="1" x14ac:dyDescent="0.35">
      <c r="A130" s="9" t="str">
        <f t="shared" ref="A130:A161" si="6">IF(B130="","",ROW()-1)</f>
        <v/>
      </c>
      <c r="B130" s="7"/>
      <c r="C130" s="10"/>
      <c r="D130" s="11"/>
      <c r="E130" s="8"/>
      <c r="F130" s="8"/>
      <c r="G130" s="7"/>
      <c r="H130" s="12" t="str">
        <f>IF(B130="","",VLOOKUP(B130,Items!A:I,3,FALSE))</f>
        <v/>
      </c>
      <c r="I130" s="12" t="str">
        <f>IF(B130="","",VLOOKUP(B130,Items!A:I,9,FALSE))</f>
        <v/>
      </c>
      <c r="J130" s="12" t="str">
        <f t="shared" si="4"/>
        <v/>
      </c>
    </row>
    <row r="131" spans="1:10" ht="15" customHeight="1" x14ac:dyDescent="0.35">
      <c r="A131" s="9" t="str">
        <f t="shared" si="6"/>
        <v/>
      </c>
      <c r="B131" s="7"/>
      <c r="C131" s="10"/>
      <c r="D131" s="11"/>
      <c r="E131" s="8"/>
      <c r="F131" s="8"/>
      <c r="G131" s="7"/>
      <c r="H131" s="12" t="str">
        <f>IF(B131="","",VLOOKUP(B131,Items!A:I,3,FALSE))</f>
        <v/>
      </c>
      <c r="I131" s="12" t="str">
        <f>IF(B131="","",VLOOKUP(B131,Items!A:I,9,FALSE))</f>
        <v/>
      </c>
      <c r="J131" s="12" t="str">
        <f t="shared" ref="J131:J194" si="7">IF(B131="","",TEXT(C131,"MM/DD/YYYY")&amp;H131&amp;I131)</f>
        <v/>
      </c>
    </row>
    <row r="132" spans="1:10" ht="15" customHeight="1" x14ac:dyDescent="0.35">
      <c r="A132" s="9" t="str">
        <f t="shared" si="6"/>
        <v/>
      </c>
      <c r="B132" s="7"/>
      <c r="C132" s="10"/>
      <c r="D132" s="11"/>
      <c r="E132" s="8"/>
      <c r="F132" s="8"/>
      <c r="G132" s="7"/>
      <c r="H132" s="12" t="str">
        <f>IF(B132="","",VLOOKUP(B132,Items!A:I,3,FALSE))</f>
        <v/>
      </c>
      <c r="I132" s="12" t="str">
        <f>IF(B132="","",VLOOKUP(B132,Items!A:I,9,FALSE))</f>
        <v/>
      </c>
      <c r="J132" s="12" t="str">
        <f t="shared" si="7"/>
        <v/>
      </c>
    </row>
    <row r="133" spans="1:10" ht="15" customHeight="1" x14ac:dyDescent="0.35">
      <c r="A133" s="9" t="str">
        <f t="shared" si="6"/>
        <v/>
      </c>
      <c r="B133" s="7"/>
      <c r="C133" s="10"/>
      <c r="D133" s="11"/>
      <c r="E133" s="8"/>
      <c r="F133" s="8"/>
      <c r="G133" s="7"/>
      <c r="H133" s="12" t="str">
        <f>IF(B133="","",VLOOKUP(B133,Items!A:I,3,FALSE))</f>
        <v/>
      </c>
      <c r="I133" s="12" t="str">
        <f>IF(B133="","",VLOOKUP(B133,Items!A:I,9,FALSE))</f>
        <v/>
      </c>
      <c r="J133" s="12" t="str">
        <f t="shared" si="7"/>
        <v/>
      </c>
    </row>
    <row r="134" spans="1:10" ht="15" customHeight="1" x14ac:dyDescent="0.35">
      <c r="A134" s="9" t="str">
        <f t="shared" si="6"/>
        <v/>
      </c>
      <c r="B134" s="7"/>
      <c r="C134" s="10"/>
      <c r="D134" s="11"/>
      <c r="E134" s="8"/>
      <c r="F134" s="8"/>
      <c r="G134" s="7"/>
      <c r="H134" s="12" t="str">
        <f>IF(B134="","",VLOOKUP(B134,Items!A:I,3,FALSE))</f>
        <v/>
      </c>
      <c r="I134" s="12" t="str">
        <f>IF(B134="","",VLOOKUP(B134,Items!A:I,9,FALSE))</f>
        <v/>
      </c>
      <c r="J134" s="12" t="str">
        <f t="shared" si="7"/>
        <v/>
      </c>
    </row>
    <row r="135" spans="1:10" ht="15" customHeight="1" x14ac:dyDescent="0.35">
      <c r="A135" s="9" t="str">
        <f t="shared" si="6"/>
        <v/>
      </c>
      <c r="B135" s="7"/>
      <c r="C135" s="10"/>
      <c r="D135" s="11"/>
      <c r="E135" s="8"/>
      <c r="F135" s="8"/>
      <c r="G135" s="7"/>
      <c r="H135" s="12" t="str">
        <f>IF(B135="","",VLOOKUP(B135,Items!A:I,3,FALSE))</f>
        <v/>
      </c>
      <c r="I135" s="12" t="str">
        <f>IF(B135="","",VLOOKUP(B135,Items!A:I,9,FALSE))</f>
        <v/>
      </c>
      <c r="J135" s="12" t="str">
        <f t="shared" si="7"/>
        <v/>
      </c>
    </row>
    <row r="136" spans="1:10" ht="15" customHeight="1" x14ac:dyDescent="0.35">
      <c r="A136" s="9" t="str">
        <f t="shared" si="6"/>
        <v/>
      </c>
      <c r="B136" s="7"/>
      <c r="C136" s="10"/>
      <c r="D136" s="11"/>
      <c r="E136" s="8"/>
      <c r="F136" s="8"/>
      <c r="G136" s="7"/>
      <c r="H136" s="12" t="str">
        <f>IF(B136="","",VLOOKUP(B136,Items!A:I,3,FALSE))</f>
        <v/>
      </c>
      <c r="I136" s="12" t="str">
        <f>IF(B136="","",VLOOKUP(B136,Items!A:I,9,FALSE))</f>
        <v/>
      </c>
      <c r="J136" s="12" t="str">
        <f t="shared" si="7"/>
        <v/>
      </c>
    </row>
    <row r="137" spans="1:10" ht="15" customHeight="1" x14ac:dyDescent="0.35">
      <c r="A137" s="9" t="str">
        <f t="shared" si="6"/>
        <v/>
      </c>
      <c r="B137" s="7"/>
      <c r="C137" s="10"/>
      <c r="D137" s="11"/>
      <c r="E137" s="8"/>
      <c r="F137" s="8"/>
      <c r="G137" s="7"/>
      <c r="H137" s="12" t="str">
        <f>IF(B137="","",VLOOKUP(B137,Items!A:I,3,FALSE))</f>
        <v/>
      </c>
      <c r="I137" s="12" t="str">
        <f>IF(B137="","",VLOOKUP(B137,Items!A:I,9,FALSE))</f>
        <v/>
      </c>
      <c r="J137" s="12" t="str">
        <f t="shared" si="7"/>
        <v/>
      </c>
    </row>
    <row r="138" spans="1:10" ht="15" customHeight="1" x14ac:dyDescent="0.35">
      <c r="A138" s="9" t="str">
        <f t="shared" si="6"/>
        <v/>
      </c>
      <c r="B138" s="7"/>
      <c r="C138" s="10"/>
      <c r="D138" s="11"/>
      <c r="E138" s="8"/>
      <c r="F138" s="8"/>
      <c r="G138" s="7"/>
      <c r="H138" s="12" t="str">
        <f>IF(B138="","",VLOOKUP(B138,Items!A:I,3,FALSE))</f>
        <v/>
      </c>
      <c r="I138" s="12" t="str">
        <f>IF(B138="","",VLOOKUP(B138,Items!A:I,9,FALSE))</f>
        <v/>
      </c>
      <c r="J138" s="12" t="str">
        <f t="shared" si="7"/>
        <v/>
      </c>
    </row>
    <row r="139" spans="1:10" ht="15" customHeight="1" x14ac:dyDescent="0.35">
      <c r="A139" s="9" t="str">
        <f t="shared" si="6"/>
        <v/>
      </c>
      <c r="B139" s="7"/>
      <c r="C139" s="10"/>
      <c r="D139" s="11"/>
      <c r="E139" s="8"/>
      <c r="F139" s="8"/>
      <c r="G139" s="7"/>
      <c r="H139" s="12" t="str">
        <f>IF(B139="","",VLOOKUP(B139,Items!A:I,3,FALSE))</f>
        <v/>
      </c>
      <c r="I139" s="12" t="str">
        <f>IF(B139="","",VLOOKUP(B139,Items!A:I,9,FALSE))</f>
        <v/>
      </c>
      <c r="J139" s="12" t="str">
        <f t="shared" si="7"/>
        <v/>
      </c>
    </row>
    <row r="140" spans="1:10" ht="15" customHeight="1" x14ac:dyDescent="0.35">
      <c r="A140" s="9" t="str">
        <f t="shared" si="6"/>
        <v/>
      </c>
      <c r="B140" s="7"/>
      <c r="C140" s="10"/>
      <c r="D140" s="11"/>
      <c r="E140" s="8"/>
      <c r="F140" s="8"/>
      <c r="G140" s="7"/>
      <c r="H140" s="12" t="str">
        <f>IF(B140="","",VLOOKUP(B140,Items!A:I,3,FALSE))</f>
        <v/>
      </c>
      <c r="I140" s="12" t="str">
        <f>IF(B140="","",VLOOKUP(B140,Items!A:I,9,FALSE))</f>
        <v/>
      </c>
      <c r="J140" s="12" t="str">
        <f t="shared" si="7"/>
        <v/>
      </c>
    </row>
    <row r="141" spans="1:10" ht="15" customHeight="1" x14ac:dyDescent="0.35">
      <c r="A141" s="9" t="str">
        <f t="shared" si="6"/>
        <v/>
      </c>
      <c r="B141" s="7"/>
      <c r="C141" s="10"/>
      <c r="D141" s="11"/>
      <c r="E141" s="8"/>
      <c r="F141" s="8"/>
      <c r="G141" s="7"/>
      <c r="H141" s="12" t="str">
        <f>IF(B141="","",VLOOKUP(B141,Items!A:I,3,FALSE))</f>
        <v/>
      </c>
      <c r="I141" s="12" t="str">
        <f>IF(B141="","",VLOOKUP(B141,Items!A:I,9,FALSE))</f>
        <v/>
      </c>
      <c r="J141" s="12" t="str">
        <f t="shared" si="7"/>
        <v/>
      </c>
    </row>
    <row r="142" spans="1:10" ht="15" customHeight="1" x14ac:dyDescent="0.35">
      <c r="A142" s="9" t="str">
        <f t="shared" si="6"/>
        <v/>
      </c>
      <c r="B142" s="7"/>
      <c r="C142" s="10"/>
      <c r="D142" s="11"/>
      <c r="E142" s="8"/>
      <c r="F142" s="8"/>
      <c r="G142" s="7"/>
      <c r="H142" s="12" t="str">
        <f>IF(B142="","",VLOOKUP(B142,Items!A:I,3,FALSE))</f>
        <v/>
      </c>
      <c r="I142" s="12" t="str">
        <f>IF(B142="","",VLOOKUP(B142,Items!A:I,9,FALSE))</f>
        <v/>
      </c>
      <c r="J142" s="12" t="str">
        <f t="shared" si="7"/>
        <v/>
      </c>
    </row>
    <row r="143" spans="1:10" ht="15" customHeight="1" x14ac:dyDescent="0.35">
      <c r="A143" s="9" t="str">
        <f t="shared" si="6"/>
        <v/>
      </c>
      <c r="B143" s="7"/>
      <c r="C143" s="10"/>
      <c r="D143" s="11"/>
      <c r="E143" s="8"/>
      <c r="F143" s="8"/>
      <c r="G143" s="7"/>
      <c r="H143" s="12" t="str">
        <f>IF(B143="","",VLOOKUP(B143,Items!A:I,3,FALSE))</f>
        <v/>
      </c>
      <c r="I143" s="12" t="str">
        <f>IF(B143="","",VLOOKUP(B143,Items!A:I,9,FALSE))</f>
        <v/>
      </c>
      <c r="J143" s="12" t="str">
        <f t="shared" si="7"/>
        <v/>
      </c>
    </row>
    <row r="144" spans="1:10" ht="15" customHeight="1" x14ac:dyDescent="0.35">
      <c r="A144" s="9" t="str">
        <f t="shared" si="6"/>
        <v/>
      </c>
      <c r="B144" s="7"/>
      <c r="C144" s="10"/>
      <c r="D144" s="11"/>
      <c r="E144" s="8"/>
      <c r="F144" s="8"/>
      <c r="G144" s="7"/>
      <c r="H144" s="12" t="str">
        <f>IF(B144="","",VLOOKUP(B144,Items!A:I,3,FALSE))</f>
        <v/>
      </c>
      <c r="I144" s="12" t="str">
        <f>IF(B144="","",VLOOKUP(B144,Items!A:I,9,FALSE))</f>
        <v/>
      </c>
      <c r="J144" s="12" t="str">
        <f t="shared" si="7"/>
        <v/>
      </c>
    </row>
    <row r="145" spans="1:10" ht="15" customHeight="1" x14ac:dyDescent="0.35">
      <c r="A145" s="9" t="str">
        <f t="shared" si="6"/>
        <v/>
      </c>
      <c r="B145" s="7"/>
      <c r="C145" s="10"/>
      <c r="D145" s="11"/>
      <c r="E145" s="8"/>
      <c r="F145" s="8"/>
      <c r="G145" s="7"/>
      <c r="H145" s="12" t="str">
        <f>IF(B145="","",VLOOKUP(B145,Items!A:I,3,FALSE))</f>
        <v/>
      </c>
      <c r="I145" s="12" t="str">
        <f>IF(B145="","",VLOOKUP(B145,Items!A:I,9,FALSE))</f>
        <v/>
      </c>
      <c r="J145" s="12" t="str">
        <f t="shared" si="7"/>
        <v/>
      </c>
    </row>
    <row r="146" spans="1:10" ht="15" customHeight="1" x14ac:dyDescent="0.35">
      <c r="A146" s="9" t="str">
        <f t="shared" si="6"/>
        <v/>
      </c>
      <c r="B146" s="7"/>
      <c r="C146" s="10"/>
      <c r="D146" s="11"/>
      <c r="E146" s="8"/>
      <c r="F146" s="8"/>
      <c r="G146" s="7"/>
      <c r="H146" s="12" t="str">
        <f>IF(B146="","",VLOOKUP(B146,Items!A:I,3,FALSE))</f>
        <v/>
      </c>
      <c r="I146" s="12" t="str">
        <f>IF(B146="","",VLOOKUP(B146,Items!A:I,9,FALSE))</f>
        <v/>
      </c>
      <c r="J146" s="12" t="str">
        <f t="shared" si="7"/>
        <v/>
      </c>
    </row>
    <row r="147" spans="1:10" ht="15" customHeight="1" x14ac:dyDescent="0.35">
      <c r="A147" s="9" t="str">
        <f t="shared" si="6"/>
        <v/>
      </c>
      <c r="B147" s="7"/>
      <c r="C147" s="10"/>
      <c r="D147" s="11"/>
      <c r="E147" s="8"/>
      <c r="F147" s="8"/>
      <c r="G147" s="7"/>
      <c r="H147" s="12" t="str">
        <f>IF(B147="","",VLOOKUP(B147,Items!A:I,3,FALSE))</f>
        <v/>
      </c>
      <c r="I147" s="12" t="str">
        <f>IF(B147="","",VLOOKUP(B147,Items!A:I,9,FALSE))</f>
        <v/>
      </c>
      <c r="J147" s="12" t="str">
        <f t="shared" si="7"/>
        <v/>
      </c>
    </row>
    <row r="148" spans="1:10" ht="15" customHeight="1" x14ac:dyDescent="0.35">
      <c r="A148" s="9" t="str">
        <f t="shared" si="6"/>
        <v/>
      </c>
      <c r="B148" s="7"/>
      <c r="C148" s="10"/>
      <c r="D148" s="11"/>
      <c r="E148" s="8"/>
      <c r="F148" s="8"/>
      <c r="G148" s="7"/>
      <c r="H148" s="12" t="str">
        <f>IF(B148="","",VLOOKUP(B148,Items!A:I,3,FALSE))</f>
        <v/>
      </c>
      <c r="I148" s="12" t="str">
        <f>IF(B148="","",VLOOKUP(B148,Items!A:I,9,FALSE))</f>
        <v/>
      </c>
      <c r="J148" s="12" t="str">
        <f t="shared" si="7"/>
        <v/>
      </c>
    </row>
    <row r="149" spans="1:10" ht="15" customHeight="1" x14ac:dyDescent="0.35">
      <c r="A149" s="9" t="str">
        <f t="shared" si="6"/>
        <v/>
      </c>
      <c r="B149" s="7"/>
      <c r="C149" s="10"/>
      <c r="D149" s="11"/>
      <c r="E149" s="8"/>
      <c r="F149" s="8"/>
      <c r="G149" s="7"/>
      <c r="H149" s="12" t="str">
        <f>IF(B149="","",VLOOKUP(B149,Items!A:I,3,FALSE))</f>
        <v/>
      </c>
      <c r="I149" s="12" t="str">
        <f>IF(B149="","",VLOOKUP(B149,Items!A:I,9,FALSE))</f>
        <v/>
      </c>
      <c r="J149" s="12" t="str">
        <f t="shared" si="7"/>
        <v/>
      </c>
    </row>
    <row r="150" spans="1:10" ht="15" customHeight="1" x14ac:dyDescent="0.35">
      <c r="A150" s="9" t="str">
        <f t="shared" si="6"/>
        <v/>
      </c>
      <c r="B150" s="7"/>
      <c r="C150" s="10"/>
      <c r="D150" s="11"/>
      <c r="E150" s="8"/>
      <c r="F150" s="8"/>
      <c r="G150" s="7"/>
      <c r="H150" s="12" t="str">
        <f>IF(B150="","",VLOOKUP(B150,Items!A:I,3,FALSE))</f>
        <v/>
      </c>
      <c r="I150" s="12" t="str">
        <f>IF(B150="","",VLOOKUP(B150,Items!A:I,9,FALSE))</f>
        <v/>
      </c>
      <c r="J150" s="12" t="str">
        <f t="shared" si="7"/>
        <v/>
      </c>
    </row>
    <row r="151" spans="1:10" ht="15" customHeight="1" x14ac:dyDescent="0.35">
      <c r="A151" s="9" t="str">
        <f t="shared" si="6"/>
        <v/>
      </c>
      <c r="B151" s="7"/>
      <c r="C151" s="10"/>
      <c r="D151" s="11"/>
      <c r="E151" s="8"/>
      <c r="F151" s="8"/>
      <c r="G151" s="7"/>
      <c r="H151" s="12" t="str">
        <f>IF(B151="","",VLOOKUP(B151,Items!A:I,3,FALSE))</f>
        <v/>
      </c>
      <c r="I151" s="12" t="str">
        <f>IF(B151="","",VLOOKUP(B151,Items!A:I,9,FALSE))</f>
        <v/>
      </c>
      <c r="J151" s="12" t="str">
        <f t="shared" si="7"/>
        <v/>
      </c>
    </row>
    <row r="152" spans="1:10" ht="15" customHeight="1" x14ac:dyDescent="0.35">
      <c r="A152" s="9" t="str">
        <f t="shared" si="6"/>
        <v/>
      </c>
      <c r="B152" s="7"/>
      <c r="C152" s="10"/>
      <c r="D152" s="11"/>
      <c r="E152" s="8"/>
      <c r="F152" s="8"/>
      <c r="G152" s="7"/>
      <c r="H152" s="12" t="str">
        <f>IF(B152="","",VLOOKUP(B152,Items!A:I,3,FALSE))</f>
        <v/>
      </c>
      <c r="I152" s="12" t="str">
        <f>IF(B152="","",VLOOKUP(B152,Items!A:I,9,FALSE))</f>
        <v/>
      </c>
      <c r="J152" s="12" t="str">
        <f t="shared" si="7"/>
        <v/>
      </c>
    </row>
    <row r="153" spans="1:10" ht="15" customHeight="1" x14ac:dyDescent="0.35">
      <c r="A153" s="9" t="str">
        <f t="shared" si="6"/>
        <v/>
      </c>
      <c r="B153" s="7"/>
      <c r="C153" s="10"/>
      <c r="D153" s="11"/>
      <c r="E153" s="8"/>
      <c r="F153" s="8"/>
      <c r="G153" s="7"/>
      <c r="H153" s="12" t="str">
        <f>IF(B153="","",VLOOKUP(B153,Items!A:I,3,FALSE))</f>
        <v/>
      </c>
      <c r="I153" s="12" t="str">
        <f>IF(B153="","",VLOOKUP(B153,Items!A:I,9,FALSE))</f>
        <v/>
      </c>
      <c r="J153" s="12" t="str">
        <f t="shared" si="7"/>
        <v/>
      </c>
    </row>
    <row r="154" spans="1:10" ht="15" customHeight="1" x14ac:dyDescent="0.35">
      <c r="A154" s="9" t="str">
        <f t="shared" si="6"/>
        <v/>
      </c>
      <c r="B154" s="7"/>
      <c r="C154" s="10"/>
      <c r="D154" s="11"/>
      <c r="E154" s="8"/>
      <c r="F154" s="8"/>
      <c r="G154" s="7"/>
      <c r="H154" s="12" t="str">
        <f>IF(B154="","",VLOOKUP(B154,Items!A:I,3,FALSE))</f>
        <v/>
      </c>
      <c r="I154" s="12" t="str">
        <f>IF(B154="","",VLOOKUP(B154,Items!A:I,9,FALSE))</f>
        <v/>
      </c>
      <c r="J154" s="12" t="str">
        <f t="shared" si="7"/>
        <v/>
      </c>
    </row>
    <row r="155" spans="1:10" ht="15" customHeight="1" x14ac:dyDescent="0.35">
      <c r="A155" s="9" t="str">
        <f t="shared" si="6"/>
        <v/>
      </c>
      <c r="B155" s="7"/>
      <c r="C155" s="10"/>
      <c r="D155" s="11"/>
      <c r="E155" s="8"/>
      <c r="F155" s="8"/>
      <c r="G155" s="7"/>
      <c r="H155" s="12" t="str">
        <f>IF(B155="","",VLOOKUP(B155,Items!A:I,3,FALSE))</f>
        <v/>
      </c>
      <c r="I155" s="12" t="str">
        <f>IF(B155="","",VLOOKUP(B155,Items!A:I,9,FALSE))</f>
        <v/>
      </c>
      <c r="J155" s="12" t="str">
        <f t="shared" si="7"/>
        <v/>
      </c>
    </row>
    <row r="156" spans="1:10" ht="15" customHeight="1" x14ac:dyDescent="0.35">
      <c r="A156" s="9" t="str">
        <f t="shared" si="6"/>
        <v/>
      </c>
      <c r="B156" s="7"/>
      <c r="C156" s="10"/>
      <c r="D156" s="11"/>
      <c r="E156" s="8"/>
      <c r="F156" s="8"/>
      <c r="G156" s="7"/>
      <c r="H156" s="12" t="str">
        <f>IF(B156="","",VLOOKUP(B156,Items!A:I,3,FALSE))</f>
        <v/>
      </c>
      <c r="I156" s="12" t="str">
        <f>IF(B156="","",VLOOKUP(B156,Items!A:I,9,FALSE))</f>
        <v/>
      </c>
      <c r="J156" s="12" t="str">
        <f t="shared" si="7"/>
        <v/>
      </c>
    </row>
    <row r="157" spans="1:10" ht="15" customHeight="1" x14ac:dyDescent="0.35">
      <c r="A157" s="9" t="str">
        <f t="shared" si="6"/>
        <v/>
      </c>
      <c r="B157" s="7"/>
      <c r="C157" s="10"/>
      <c r="D157" s="11"/>
      <c r="E157" s="8"/>
      <c r="F157" s="8"/>
      <c r="G157" s="7"/>
      <c r="H157" s="12" t="str">
        <f>IF(B157="","",VLOOKUP(B157,Items!A:I,3,FALSE))</f>
        <v/>
      </c>
      <c r="I157" s="12" t="str">
        <f>IF(B157="","",VLOOKUP(B157,Items!A:I,9,FALSE))</f>
        <v/>
      </c>
      <c r="J157" s="12" t="str">
        <f t="shared" si="7"/>
        <v/>
      </c>
    </row>
    <row r="158" spans="1:10" ht="15" customHeight="1" x14ac:dyDescent="0.35">
      <c r="A158" s="9" t="str">
        <f t="shared" si="6"/>
        <v/>
      </c>
      <c r="B158" s="7"/>
      <c r="C158" s="10"/>
      <c r="D158" s="11"/>
      <c r="E158" s="8"/>
      <c r="F158" s="8"/>
      <c r="G158" s="7"/>
      <c r="H158" s="12" t="str">
        <f>IF(B158="","",VLOOKUP(B158,Items!A:I,3,FALSE))</f>
        <v/>
      </c>
      <c r="I158" s="12" t="str">
        <f>IF(B158="","",VLOOKUP(B158,Items!A:I,9,FALSE))</f>
        <v/>
      </c>
      <c r="J158" s="12" t="str">
        <f t="shared" si="7"/>
        <v/>
      </c>
    </row>
    <row r="159" spans="1:10" ht="15" customHeight="1" x14ac:dyDescent="0.35">
      <c r="A159" s="9" t="str">
        <f t="shared" si="6"/>
        <v/>
      </c>
      <c r="B159" s="7"/>
      <c r="C159" s="10"/>
      <c r="D159" s="11"/>
      <c r="E159" s="8"/>
      <c r="F159" s="8"/>
      <c r="G159" s="7"/>
      <c r="H159" s="12" t="str">
        <f>IF(B159="","",VLOOKUP(B159,Items!A:I,3,FALSE))</f>
        <v/>
      </c>
      <c r="I159" s="12" t="str">
        <f>IF(B159="","",VLOOKUP(B159,Items!A:I,9,FALSE))</f>
        <v/>
      </c>
      <c r="J159" s="12" t="str">
        <f t="shared" si="7"/>
        <v/>
      </c>
    </row>
    <row r="160" spans="1:10" ht="15" customHeight="1" x14ac:dyDescent="0.35">
      <c r="A160" s="9" t="str">
        <f t="shared" si="6"/>
        <v/>
      </c>
      <c r="B160" s="7"/>
      <c r="C160" s="10"/>
      <c r="D160" s="11"/>
      <c r="E160" s="8"/>
      <c r="F160" s="8"/>
      <c r="G160" s="7"/>
      <c r="H160" s="12" t="str">
        <f>IF(B160="","",VLOOKUP(B160,Items!A:I,3,FALSE))</f>
        <v/>
      </c>
      <c r="I160" s="12" t="str">
        <f>IF(B160="","",VLOOKUP(B160,Items!A:I,9,FALSE))</f>
        <v/>
      </c>
      <c r="J160" s="12" t="str">
        <f t="shared" si="7"/>
        <v/>
      </c>
    </row>
    <row r="161" spans="1:10" ht="15" customHeight="1" x14ac:dyDescent="0.35">
      <c r="A161" s="9" t="str">
        <f t="shared" si="6"/>
        <v/>
      </c>
      <c r="B161" s="7"/>
      <c r="C161" s="10"/>
      <c r="D161" s="11"/>
      <c r="E161" s="8"/>
      <c r="F161" s="8"/>
      <c r="G161" s="7"/>
      <c r="H161" s="12" t="str">
        <f>IF(B161="","",VLOOKUP(B161,Items!A:I,3,FALSE))</f>
        <v/>
      </c>
      <c r="I161" s="12" t="str">
        <f>IF(B161="","",VLOOKUP(B161,Items!A:I,9,FALSE))</f>
        <v/>
      </c>
      <c r="J161" s="12" t="str">
        <f t="shared" si="7"/>
        <v/>
      </c>
    </row>
    <row r="162" spans="1:10" ht="15" customHeight="1" x14ac:dyDescent="0.35">
      <c r="A162" s="9" t="str">
        <f t="shared" ref="A162:A193" si="8">IF(B162="","",ROW()-1)</f>
        <v/>
      </c>
      <c r="B162" s="7"/>
      <c r="C162" s="10"/>
      <c r="D162" s="11"/>
      <c r="E162" s="8"/>
      <c r="F162" s="8"/>
      <c r="G162" s="7"/>
      <c r="H162" s="12" t="str">
        <f>IF(B162="","",VLOOKUP(B162,Items!A:I,3,FALSE))</f>
        <v/>
      </c>
      <c r="I162" s="12" t="str">
        <f>IF(B162="","",VLOOKUP(B162,Items!A:I,9,FALSE))</f>
        <v/>
      </c>
      <c r="J162" s="12" t="str">
        <f t="shared" si="7"/>
        <v/>
      </c>
    </row>
    <row r="163" spans="1:10" ht="15" customHeight="1" x14ac:dyDescent="0.35">
      <c r="A163" s="9" t="str">
        <f t="shared" si="8"/>
        <v/>
      </c>
      <c r="B163" s="7"/>
      <c r="C163" s="10"/>
      <c r="D163" s="11"/>
      <c r="E163" s="8"/>
      <c r="F163" s="8"/>
      <c r="G163" s="7"/>
      <c r="H163" s="12" t="str">
        <f>IF(B163="","",VLOOKUP(B163,Items!A:I,3,FALSE))</f>
        <v/>
      </c>
      <c r="I163" s="12" t="str">
        <f>IF(B163="","",VLOOKUP(B163,Items!A:I,9,FALSE))</f>
        <v/>
      </c>
      <c r="J163" s="12" t="str">
        <f t="shared" si="7"/>
        <v/>
      </c>
    </row>
    <row r="164" spans="1:10" ht="15" customHeight="1" x14ac:dyDescent="0.35">
      <c r="A164" s="9" t="str">
        <f t="shared" si="8"/>
        <v/>
      </c>
      <c r="B164" s="7"/>
      <c r="C164" s="10"/>
      <c r="D164" s="11"/>
      <c r="E164" s="8"/>
      <c r="F164" s="8"/>
      <c r="G164" s="7"/>
      <c r="H164" s="12" t="str">
        <f>IF(B164="","",VLOOKUP(B164,Items!A:I,3,FALSE))</f>
        <v/>
      </c>
      <c r="I164" s="12" t="str">
        <f>IF(B164="","",VLOOKUP(B164,Items!A:I,9,FALSE))</f>
        <v/>
      </c>
      <c r="J164" s="12" t="str">
        <f t="shared" si="7"/>
        <v/>
      </c>
    </row>
    <row r="165" spans="1:10" ht="15" customHeight="1" x14ac:dyDescent="0.35">
      <c r="A165" s="9" t="str">
        <f t="shared" si="8"/>
        <v/>
      </c>
      <c r="B165" s="7"/>
      <c r="C165" s="10"/>
      <c r="D165" s="11"/>
      <c r="E165" s="8"/>
      <c r="F165" s="8"/>
      <c r="G165" s="7"/>
      <c r="H165" s="12" t="str">
        <f>IF(B165="","",VLOOKUP(B165,Items!A:I,3,FALSE))</f>
        <v/>
      </c>
      <c r="I165" s="12" t="str">
        <f>IF(B165="","",VLOOKUP(B165,Items!A:I,9,FALSE))</f>
        <v/>
      </c>
      <c r="J165" s="12" t="str">
        <f t="shared" si="7"/>
        <v/>
      </c>
    </row>
    <row r="166" spans="1:10" ht="15" customHeight="1" x14ac:dyDescent="0.35">
      <c r="A166" s="9" t="str">
        <f t="shared" si="8"/>
        <v/>
      </c>
      <c r="B166" s="7"/>
      <c r="C166" s="10"/>
      <c r="D166" s="11"/>
      <c r="E166" s="8"/>
      <c r="F166" s="8"/>
      <c r="G166" s="7"/>
      <c r="H166" s="12" t="str">
        <f>IF(B166="","",VLOOKUP(B166,Items!A:I,3,FALSE))</f>
        <v/>
      </c>
      <c r="I166" s="12" t="str">
        <f>IF(B166="","",VLOOKUP(B166,Items!A:I,9,FALSE))</f>
        <v/>
      </c>
      <c r="J166" s="12" t="str">
        <f t="shared" si="7"/>
        <v/>
      </c>
    </row>
    <row r="167" spans="1:10" ht="15" customHeight="1" x14ac:dyDescent="0.35">
      <c r="A167" s="9" t="str">
        <f t="shared" si="8"/>
        <v/>
      </c>
      <c r="B167" s="7"/>
      <c r="C167" s="10"/>
      <c r="D167" s="11"/>
      <c r="E167" s="8"/>
      <c r="F167" s="8"/>
      <c r="G167" s="7"/>
      <c r="H167" s="12" t="str">
        <f>IF(B167="","",VLOOKUP(B167,Items!A:I,3,FALSE))</f>
        <v/>
      </c>
      <c r="I167" s="12" t="str">
        <f>IF(B167="","",VLOOKUP(B167,Items!A:I,9,FALSE))</f>
        <v/>
      </c>
      <c r="J167" s="12" t="str">
        <f t="shared" si="7"/>
        <v/>
      </c>
    </row>
    <row r="168" spans="1:10" ht="15" customHeight="1" x14ac:dyDescent="0.35">
      <c r="A168" s="9" t="str">
        <f t="shared" si="8"/>
        <v/>
      </c>
      <c r="B168" s="7"/>
      <c r="C168" s="10"/>
      <c r="D168" s="11"/>
      <c r="E168" s="8"/>
      <c r="F168" s="8"/>
      <c r="G168" s="7"/>
      <c r="H168" s="12" t="str">
        <f>IF(B168="","",VLOOKUP(B168,Items!A:I,3,FALSE))</f>
        <v/>
      </c>
      <c r="I168" s="12" t="str">
        <f>IF(B168="","",VLOOKUP(B168,Items!A:I,9,FALSE))</f>
        <v/>
      </c>
      <c r="J168" s="12" t="str">
        <f t="shared" si="7"/>
        <v/>
      </c>
    </row>
    <row r="169" spans="1:10" ht="15" customHeight="1" x14ac:dyDescent="0.35">
      <c r="A169" s="9" t="str">
        <f t="shared" si="8"/>
        <v/>
      </c>
      <c r="B169" s="7"/>
      <c r="C169" s="10"/>
      <c r="D169" s="11"/>
      <c r="E169" s="8"/>
      <c r="F169" s="8"/>
      <c r="G169" s="7"/>
      <c r="H169" s="12" t="str">
        <f>IF(B169="","",VLOOKUP(B169,Items!A:I,3,FALSE))</f>
        <v/>
      </c>
      <c r="I169" s="12" t="str">
        <f>IF(B169="","",VLOOKUP(B169,Items!A:I,9,FALSE))</f>
        <v/>
      </c>
      <c r="J169" s="12" t="str">
        <f t="shared" si="7"/>
        <v/>
      </c>
    </row>
    <row r="170" spans="1:10" ht="15" customHeight="1" x14ac:dyDescent="0.35">
      <c r="A170" s="9" t="str">
        <f t="shared" si="8"/>
        <v/>
      </c>
      <c r="B170" s="7"/>
      <c r="C170" s="10"/>
      <c r="D170" s="11"/>
      <c r="E170" s="8"/>
      <c r="F170" s="8"/>
      <c r="G170" s="7"/>
      <c r="H170" s="12" t="str">
        <f>IF(B170="","",VLOOKUP(B170,Items!A:I,3,FALSE))</f>
        <v/>
      </c>
      <c r="I170" s="12" t="str">
        <f>IF(B170="","",VLOOKUP(B170,Items!A:I,9,FALSE))</f>
        <v/>
      </c>
      <c r="J170" s="12" t="str">
        <f t="shared" si="7"/>
        <v/>
      </c>
    </row>
    <row r="171" spans="1:10" ht="15" customHeight="1" x14ac:dyDescent="0.35">
      <c r="A171" s="9" t="str">
        <f t="shared" si="8"/>
        <v/>
      </c>
      <c r="B171" s="7"/>
      <c r="C171" s="10"/>
      <c r="D171" s="11"/>
      <c r="E171" s="8"/>
      <c r="F171" s="8"/>
      <c r="G171" s="7"/>
      <c r="H171" s="12" t="str">
        <f>IF(B171="","",VLOOKUP(B171,Items!A:I,3,FALSE))</f>
        <v/>
      </c>
      <c r="I171" s="12" t="str">
        <f>IF(B171="","",VLOOKUP(B171,Items!A:I,9,FALSE))</f>
        <v/>
      </c>
      <c r="J171" s="12" t="str">
        <f t="shared" si="7"/>
        <v/>
      </c>
    </row>
    <row r="172" spans="1:10" ht="15" customHeight="1" x14ac:dyDescent="0.35">
      <c r="A172" s="9" t="str">
        <f t="shared" si="8"/>
        <v/>
      </c>
      <c r="B172" s="7"/>
      <c r="C172" s="10"/>
      <c r="D172" s="11"/>
      <c r="E172" s="8"/>
      <c r="F172" s="8"/>
      <c r="G172" s="7"/>
      <c r="H172" s="12" t="str">
        <f>IF(B172="","",VLOOKUP(B172,Items!A:I,3,FALSE))</f>
        <v/>
      </c>
      <c r="I172" s="12" t="str">
        <f>IF(B172="","",VLOOKUP(B172,Items!A:I,9,FALSE))</f>
        <v/>
      </c>
      <c r="J172" s="12" t="str">
        <f t="shared" si="7"/>
        <v/>
      </c>
    </row>
    <row r="173" spans="1:10" ht="15" customHeight="1" x14ac:dyDescent="0.35">
      <c r="A173" s="9" t="str">
        <f t="shared" si="8"/>
        <v/>
      </c>
      <c r="B173" s="7"/>
      <c r="C173" s="10"/>
      <c r="D173" s="11"/>
      <c r="E173" s="8"/>
      <c r="F173" s="8"/>
      <c r="G173" s="7"/>
      <c r="H173" s="12" t="str">
        <f>IF(B173="","",VLOOKUP(B173,Items!A:I,3,FALSE))</f>
        <v/>
      </c>
      <c r="I173" s="12" t="str">
        <f>IF(B173="","",VLOOKUP(B173,Items!A:I,9,FALSE))</f>
        <v/>
      </c>
      <c r="J173" s="12" t="str">
        <f t="shared" si="7"/>
        <v/>
      </c>
    </row>
    <row r="174" spans="1:10" ht="15" customHeight="1" x14ac:dyDescent="0.35">
      <c r="A174" s="9" t="str">
        <f t="shared" si="8"/>
        <v/>
      </c>
      <c r="B174" s="7"/>
      <c r="C174" s="10"/>
      <c r="D174" s="11"/>
      <c r="E174" s="8"/>
      <c r="F174" s="8"/>
      <c r="G174" s="7"/>
      <c r="H174" s="12" t="str">
        <f>IF(B174="","",VLOOKUP(B174,Items!A:I,3,FALSE))</f>
        <v/>
      </c>
      <c r="I174" s="12" t="str">
        <f>IF(B174="","",VLOOKUP(B174,Items!A:I,9,FALSE))</f>
        <v/>
      </c>
      <c r="J174" s="12" t="str">
        <f t="shared" si="7"/>
        <v/>
      </c>
    </row>
    <row r="175" spans="1:10" ht="15" customHeight="1" x14ac:dyDescent="0.35">
      <c r="A175" s="9" t="str">
        <f t="shared" si="8"/>
        <v/>
      </c>
      <c r="B175" s="7"/>
      <c r="C175" s="10"/>
      <c r="D175" s="11"/>
      <c r="E175" s="8"/>
      <c r="F175" s="8"/>
      <c r="G175" s="7"/>
      <c r="H175" s="12" t="str">
        <f>IF(B175="","",VLOOKUP(B175,Items!A:I,3,FALSE))</f>
        <v/>
      </c>
      <c r="I175" s="12" t="str">
        <f>IF(B175="","",VLOOKUP(B175,Items!A:I,9,FALSE))</f>
        <v/>
      </c>
      <c r="J175" s="12" t="str">
        <f t="shared" si="7"/>
        <v/>
      </c>
    </row>
    <row r="176" spans="1:10" ht="15" customHeight="1" x14ac:dyDescent="0.35">
      <c r="A176" s="9" t="str">
        <f t="shared" si="8"/>
        <v/>
      </c>
      <c r="B176" s="7"/>
      <c r="C176" s="10"/>
      <c r="D176" s="11"/>
      <c r="E176" s="8"/>
      <c r="F176" s="8"/>
      <c r="G176" s="7"/>
      <c r="H176" s="12" t="str">
        <f>IF(B176="","",VLOOKUP(B176,Items!A:I,3,FALSE))</f>
        <v/>
      </c>
      <c r="I176" s="12" t="str">
        <f>IF(B176="","",VLOOKUP(B176,Items!A:I,9,FALSE))</f>
        <v/>
      </c>
      <c r="J176" s="12" t="str">
        <f t="shared" si="7"/>
        <v/>
      </c>
    </row>
    <row r="177" spans="1:10" ht="15" customHeight="1" x14ac:dyDescent="0.35">
      <c r="A177" s="9" t="str">
        <f t="shared" si="8"/>
        <v/>
      </c>
      <c r="B177" s="7"/>
      <c r="C177" s="10"/>
      <c r="D177" s="11"/>
      <c r="E177" s="8"/>
      <c r="F177" s="8"/>
      <c r="G177" s="7"/>
      <c r="H177" s="12" t="str">
        <f>IF(B177="","",VLOOKUP(B177,Items!A:I,3,FALSE))</f>
        <v/>
      </c>
      <c r="I177" s="12" t="str">
        <f>IF(B177="","",VLOOKUP(B177,Items!A:I,9,FALSE))</f>
        <v/>
      </c>
      <c r="J177" s="12" t="str">
        <f t="shared" si="7"/>
        <v/>
      </c>
    </row>
    <row r="178" spans="1:10" ht="15" customHeight="1" x14ac:dyDescent="0.35">
      <c r="A178" s="9" t="str">
        <f t="shared" si="8"/>
        <v/>
      </c>
      <c r="B178" s="7"/>
      <c r="C178" s="10"/>
      <c r="D178" s="11"/>
      <c r="E178" s="8"/>
      <c r="F178" s="8"/>
      <c r="G178" s="7"/>
      <c r="H178" s="12" t="str">
        <f>IF(B178="","",VLOOKUP(B178,Items!A:I,3,FALSE))</f>
        <v/>
      </c>
      <c r="I178" s="12" t="str">
        <f>IF(B178="","",VLOOKUP(B178,Items!A:I,9,FALSE))</f>
        <v/>
      </c>
      <c r="J178" s="12" t="str">
        <f t="shared" si="7"/>
        <v/>
      </c>
    </row>
    <row r="179" spans="1:10" ht="15" customHeight="1" x14ac:dyDescent="0.35">
      <c r="A179" s="9" t="str">
        <f t="shared" si="8"/>
        <v/>
      </c>
      <c r="B179" s="7"/>
      <c r="C179" s="10"/>
      <c r="D179" s="11"/>
      <c r="E179" s="8"/>
      <c r="F179" s="8"/>
      <c r="G179" s="7"/>
      <c r="H179" s="12" t="str">
        <f>IF(B179="","",VLOOKUP(B179,Items!A:I,3,FALSE))</f>
        <v/>
      </c>
      <c r="I179" s="12" t="str">
        <f>IF(B179="","",VLOOKUP(B179,Items!A:I,9,FALSE))</f>
        <v/>
      </c>
      <c r="J179" s="12" t="str">
        <f t="shared" si="7"/>
        <v/>
      </c>
    </row>
    <row r="180" spans="1:10" ht="15" customHeight="1" x14ac:dyDescent="0.35">
      <c r="A180" s="9" t="str">
        <f t="shared" si="8"/>
        <v/>
      </c>
      <c r="B180" s="7"/>
      <c r="C180" s="10"/>
      <c r="D180" s="11"/>
      <c r="E180" s="8"/>
      <c r="F180" s="8"/>
      <c r="G180" s="7"/>
      <c r="H180" s="12" t="str">
        <f>IF(B180="","",VLOOKUP(B180,Items!A:I,3,FALSE))</f>
        <v/>
      </c>
      <c r="I180" s="12" t="str">
        <f>IF(B180="","",VLOOKUP(B180,Items!A:I,9,FALSE))</f>
        <v/>
      </c>
      <c r="J180" s="12" t="str">
        <f t="shared" si="7"/>
        <v/>
      </c>
    </row>
    <row r="181" spans="1:10" ht="15" customHeight="1" x14ac:dyDescent="0.35">
      <c r="A181" s="9" t="str">
        <f t="shared" si="8"/>
        <v/>
      </c>
      <c r="B181" s="7"/>
      <c r="C181" s="10"/>
      <c r="D181" s="11"/>
      <c r="E181" s="8"/>
      <c r="F181" s="8"/>
      <c r="G181" s="7"/>
      <c r="H181" s="12" t="str">
        <f>IF(B181="","",VLOOKUP(B181,Items!A:I,3,FALSE))</f>
        <v/>
      </c>
      <c r="I181" s="12" t="str">
        <f>IF(B181="","",VLOOKUP(B181,Items!A:I,9,FALSE))</f>
        <v/>
      </c>
      <c r="J181" s="12" t="str">
        <f t="shared" si="7"/>
        <v/>
      </c>
    </row>
    <row r="182" spans="1:10" ht="15" customHeight="1" x14ac:dyDescent="0.35">
      <c r="A182" s="9" t="str">
        <f t="shared" si="8"/>
        <v/>
      </c>
      <c r="B182" s="7"/>
      <c r="C182" s="10"/>
      <c r="D182" s="11"/>
      <c r="E182" s="8"/>
      <c r="F182" s="8"/>
      <c r="G182" s="7"/>
      <c r="H182" s="12" t="str">
        <f>IF(B182="","",VLOOKUP(B182,Items!A:I,3,FALSE))</f>
        <v/>
      </c>
      <c r="I182" s="12" t="str">
        <f>IF(B182="","",VLOOKUP(B182,Items!A:I,9,FALSE))</f>
        <v/>
      </c>
      <c r="J182" s="12" t="str">
        <f t="shared" si="7"/>
        <v/>
      </c>
    </row>
    <row r="183" spans="1:10" ht="15" customHeight="1" x14ac:dyDescent="0.35">
      <c r="A183" s="9" t="str">
        <f t="shared" si="8"/>
        <v/>
      </c>
      <c r="B183" s="7"/>
      <c r="C183" s="10"/>
      <c r="D183" s="11"/>
      <c r="E183" s="8"/>
      <c r="F183" s="8"/>
      <c r="G183" s="7"/>
      <c r="H183" s="12" t="str">
        <f>IF(B183="","",VLOOKUP(B183,Items!A:I,3,FALSE))</f>
        <v/>
      </c>
      <c r="I183" s="12" t="str">
        <f>IF(B183="","",VLOOKUP(B183,Items!A:I,9,FALSE))</f>
        <v/>
      </c>
      <c r="J183" s="12" t="str">
        <f t="shared" si="7"/>
        <v/>
      </c>
    </row>
    <row r="184" spans="1:10" ht="15" customHeight="1" x14ac:dyDescent="0.35">
      <c r="A184" s="9" t="str">
        <f t="shared" si="8"/>
        <v/>
      </c>
      <c r="B184" s="7"/>
      <c r="C184" s="10"/>
      <c r="D184" s="11"/>
      <c r="E184" s="8"/>
      <c r="F184" s="8"/>
      <c r="G184" s="7"/>
      <c r="H184" s="12" t="str">
        <f>IF(B184="","",VLOOKUP(B184,Items!A:I,3,FALSE))</f>
        <v/>
      </c>
      <c r="I184" s="12" t="str">
        <f>IF(B184="","",VLOOKUP(B184,Items!A:I,9,FALSE))</f>
        <v/>
      </c>
      <c r="J184" s="12" t="str">
        <f t="shared" si="7"/>
        <v/>
      </c>
    </row>
    <row r="185" spans="1:10" ht="15" customHeight="1" x14ac:dyDescent="0.35">
      <c r="A185" s="9" t="str">
        <f t="shared" si="8"/>
        <v/>
      </c>
      <c r="B185" s="7"/>
      <c r="C185" s="10"/>
      <c r="D185" s="11"/>
      <c r="E185" s="8"/>
      <c r="F185" s="8"/>
      <c r="G185" s="7"/>
      <c r="H185" s="12" t="str">
        <f>IF(B185="","",VLOOKUP(B185,Items!A:I,3,FALSE))</f>
        <v/>
      </c>
      <c r="I185" s="12" t="str">
        <f>IF(B185="","",VLOOKUP(B185,Items!A:I,9,FALSE))</f>
        <v/>
      </c>
      <c r="J185" s="12" t="str">
        <f t="shared" si="7"/>
        <v/>
      </c>
    </row>
    <row r="186" spans="1:10" ht="15" customHeight="1" x14ac:dyDescent="0.35">
      <c r="A186" s="9" t="str">
        <f t="shared" si="8"/>
        <v/>
      </c>
      <c r="B186" s="7"/>
      <c r="C186" s="10"/>
      <c r="D186" s="11"/>
      <c r="E186" s="8"/>
      <c r="F186" s="8"/>
      <c r="G186" s="7"/>
      <c r="H186" s="12" t="str">
        <f>IF(B186="","",VLOOKUP(B186,Items!A:I,3,FALSE))</f>
        <v/>
      </c>
      <c r="I186" s="12" t="str">
        <f>IF(B186="","",VLOOKUP(B186,Items!A:I,9,FALSE))</f>
        <v/>
      </c>
      <c r="J186" s="12" t="str">
        <f t="shared" si="7"/>
        <v/>
      </c>
    </row>
    <row r="187" spans="1:10" ht="15" customHeight="1" x14ac:dyDescent="0.35">
      <c r="A187" s="9" t="str">
        <f t="shared" si="8"/>
        <v/>
      </c>
      <c r="B187" s="7"/>
      <c r="C187" s="10"/>
      <c r="D187" s="11"/>
      <c r="E187" s="8"/>
      <c r="F187" s="8"/>
      <c r="G187" s="7"/>
      <c r="H187" s="12" t="str">
        <f>IF(B187="","",VLOOKUP(B187,Items!A:I,3,FALSE))</f>
        <v/>
      </c>
      <c r="I187" s="12" t="str">
        <f>IF(B187="","",VLOOKUP(B187,Items!A:I,9,FALSE))</f>
        <v/>
      </c>
      <c r="J187" s="12" t="str">
        <f t="shared" si="7"/>
        <v/>
      </c>
    </row>
    <row r="188" spans="1:10" ht="15" customHeight="1" x14ac:dyDescent="0.35">
      <c r="A188" s="9" t="str">
        <f t="shared" si="8"/>
        <v/>
      </c>
      <c r="B188" s="7"/>
      <c r="C188" s="10"/>
      <c r="D188" s="11"/>
      <c r="E188" s="8"/>
      <c r="F188" s="8"/>
      <c r="G188" s="7"/>
      <c r="H188" s="12" t="str">
        <f>IF(B188="","",VLOOKUP(B188,Items!A:I,3,FALSE))</f>
        <v/>
      </c>
      <c r="I188" s="12" t="str">
        <f>IF(B188="","",VLOOKUP(B188,Items!A:I,9,FALSE))</f>
        <v/>
      </c>
      <c r="J188" s="12" t="str">
        <f t="shared" si="7"/>
        <v/>
      </c>
    </row>
    <row r="189" spans="1:10" ht="15" customHeight="1" x14ac:dyDescent="0.35">
      <c r="A189" s="9" t="str">
        <f t="shared" si="8"/>
        <v/>
      </c>
      <c r="B189" s="7"/>
      <c r="C189" s="10"/>
      <c r="D189" s="11"/>
      <c r="E189" s="8"/>
      <c r="F189" s="8"/>
      <c r="G189" s="7"/>
      <c r="H189" s="12" t="str">
        <f>IF(B189="","",VLOOKUP(B189,Items!A:I,3,FALSE))</f>
        <v/>
      </c>
      <c r="I189" s="12" t="str">
        <f>IF(B189="","",VLOOKUP(B189,Items!A:I,9,FALSE))</f>
        <v/>
      </c>
      <c r="J189" s="12" t="str">
        <f t="shared" si="7"/>
        <v/>
      </c>
    </row>
    <row r="190" spans="1:10" ht="15" customHeight="1" x14ac:dyDescent="0.35">
      <c r="A190" s="9" t="str">
        <f t="shared" si="8"/>
        <v/>
      </c>
      <c r="B190" s="7"/>
      <c r="C190" s="10"/>
      <c r="D190" s="11"/>
      <c r="E190" s="8"/>
      <c r="F190" s="8"/>
      <c r="G190" s="7"/>
      <c r="H190" s="12" t="str">
        <f>IF(B190="","",VLOOKUP(B190,Items!A:I,3,FALSE))</f>
        <v/>
      </c>
      <c r="I190" s="12" t="str">
        <f>IF(B190="","",VLOOKUP(B190,Items!A:I,9,FALSE))</f>
        <v/>
      </c>
      <c r="J190" s="12" t="str">
        <f t="shared" si="7"/>
        <v/>
      </c>
    </row>
    <row r="191" spans="1:10" ht="15" customHeight="1" x14ac:dyDescent="0.35">
      <c r="A191" s="9" t="str">
        <f t="shared" si="8"/>
        <v/>
      </c>
      <c r="B191" s="7"/>
      <c r="C191" s="10"/>
      <c r="D191" s="11"/>
      <c r="E191" s="8"/>
      <c r="F191" s="8"/>
      <c r="G191" s="7"/>
      <c r="H191" s="12" t="str">
        <f>IF(B191="","",VLOOKUP(B191,Items!A:I,3,FALSE))</f>
        <v/>
      </c>
      <c r="I191" s="12" t="str">
        <f>IF(B191="","",VLOOKUP(B191,Items!A:I,9,FALSE))</f>
        <v/>
      </c>
      <c r="J191" s="12" t="str">
        <f t="shared" si="7"/>
        <v/>
      </c>
    </row>
    <row r="192" spans="1:10" ht="15" customHeight="1" x14ac:dyDescent="0.35">
      <c r="A192" s="9" t="str">
        <f t="shared" si="8"/>
        <v/>
      </c>
      <c r="B192" s="7"/>
      <c r="C192" s="10"/>
      <c r="D192" s="11"/>
      <c r="E192" s="8"/>
      <c r="F192" s="8"/>
      <c r="G192" s="7"/>
      <c r="H192" s="12" t="str">
        <f>IF(B192="","",VLOOKUP(B192,Items!A:I,3,FALSE))</f>
        <v/>
      </c>
      <c r="I192" s="12" t="str">
        <f>IF(B192="","",VLOOKUP(B192,Items!A:I,9,FALSE))</f>
        <v/>
      </c>
      <c r="J192" s="12" t="str">
        <f t="shared" si="7"/>
        <v/>
      </c>
    </row>
    <row r="193" spans="1:10" ht="15" customHeight="1" x14ac:dyDescent="0.35">
      <c r="A193" s="9" t="str">
        <f t="shared" si="8"/>
        <v/>
      </c>
      <c r="B193" s="7"/>
      <c r="C193" s="10"/>
      <c r="D193" s="11"/>
      <c r="E193" s="8"/>
      <c r="F193" s="8"/>
      <c r="G193" s="7"/>
      <c r="H193" s="12" t="str">
        <f>IF(B193="","",VLOOKUP(B193,Items!A:I,3,FALSE))</f>
        <v/>
      </c>
      <c r="I193" s="12" t="str">
        <f>IF(B193="","",VLOOKUP(B193,Items!A:I,9,FALSE))</f>
        <v/>
      </c>
      <c r="J193" s="12" t="str">
        <f t="shared" si="7"/>
        <v/>
      </c>
    </row>
    <row r="194" spans="1:10" ht="15" customHeight="1" x14ac:dyDescent="0.35">
      <c r="A194" s="9" t="str">
        <f t="shared" ref="A194:A201" si="9">IF(B194="","",ROW()-1)</f>
        <v/>
      </c>
      <c r="B194" s="7"/>
      <c r="C194" s="10"/>
      <c r="D194" s="11"/>
      <c r="E194" s="8"/>
      <c r="F194" s="8"/>
      <c r="G194" s="7"/>
      <c r="H194" s="12" t="str">
        <f>IF(B194="","",VLOOKUP(B194,Items!A:I,3,FALSE))</f>
        <v/>
      </c>
      <c r="I194" s="12" t="str">
        <f>IF(B194="","",VLOOKUP(B194,Items!A:I,9,FALSE))</f>
        <v/>
      </c>
      <c r="J194" s="12" t="str">
        <f t="shared" si="7"/>
        <v/>
      </c>
    </row>
    <row r="195" spans="1:10" ht="15" customHeight="1" x14ac:dyDescent="0.35">
      <c r="A195" s="9" t="str">
        <f t="shared" si="9"/>
        <v/>
      </c>
      <c r="B195" s="7"/>
      <c r="C195" s="10"/>
      <c r="D195" s="11"/>
      <c r="E195" s="8"/>
      <c r="F195" s="8"/>
      <c r="G195" s="7"/>
      <c r="H195" s="12" t="str">
        <f>IF(B195="","",VLOOKUP(B195,Items!A:I,3,FALSE))</f>
        <v/>
      </c>
      <c r="I195" s="12" t="str">
        <f>IF(B195="","",VLOOKUP(B195,Items!A:I,9,FALSE))</f>
        <v/>
      </c>
      <c r="J195" s="12" t="str">
        <f t="shared" ref="J195:J201" si="10">IF(B195="","",TEXT(C195,"MM/DD/YYYY")&amp;H195&amp;I195)</f>
        <v/>
      </c>
    </row>
    <row r="196" spans="1:10" ht="15" customHeight="1" x14ac:dyDescent="0.35">
      <c r="A196" s="9" t="str">
        <f t="shared" si="9"/>
        <v/>
      </c>
      <c r="B196" s="7"/>
      <c r="C196" s="10"/>
      <c r="D196" s="11"/>
      <c r="E196" s="8"/>
      <c r="F196" s="8"/>
      <c r="G196" s="7"/>
      <c r="H196" s="12" t="str">
        <f>IF(B196="","",VLOOKUP(B196,Items!A:I,3,FALSE))</f>
        <v/>
      </c>
      <c r="I196" s="12" t="str">
        <f>IF(B196="","",VLOOKUP(B196,Items!A:I,9,FALSE))</f>
        <v/>
      </c>
      <c r="J196" s="12" t="str">
        <f t="shared" si="10"/>
        <v/>
      </c>
    </row>
    <row r="197" spans="1:10" ht="15" customHeight="1" x14ac:dyDescent="0.35">
      <c r="A197" s="9" t="str">
        <f t="shared" si="9"/>
        <v/>
      </c>
      <c r="B197" s="7"/>
      <c r="C197" s="10"/>
      <c r="D197" s="11"/>
      <c r="E197" s="8"/>
      <c r="F197" s="8"/>
      <c r="G197" s="7"/>
      <c r="H197" s="12" t="str">
        <f>IF(B197="","",VLOOKUP(B197,Items!A:I,3,FALSE))</f>
        <v/>
      </c>
      <c r="I197" s="12" t="str">
        <f>IF(B197="","",VLOOKUP(B197,Items!A:I,9,FALSE))</f>
        <v/>
      </c>
      <c r="J197" s="12" t="str">
        <f t="shared" si="10"/>
        <v/>
      </c>
    </row>
    <row r="198" spans="1:10" ht="15" customHeight="1" x14ac:dyDescent="0.35">
      <c r="A198" s="9" t="str">
        <f t="shared" si="9"/>
        <v/>
      </c>
      <c r="B198" s="7"/>
      <c r="C198" s="10"/>
      <c r="D198" s="11"/>
      <c r="E198" s="8"/>
      <c r="F198" s="8"/>
      <c r="G198" s="7"/>
      <c r="H198" s="12" t="str">
        <f>IF(B198="","",VLOOKUP(B198,Items!A:I,3,FALSE))</f>
        <v/>
      </c>
      <c r="I198" s="12" t="str">
        <f>IF(B198="","",VLOOKUP(B198,Items!A:I,9,FALSE))</f>
        <v/>
      </c>
      <c r="J198" s="12" t="str">
        <f t="shared" si="10"/>
        <v/>
      </c>
    </row>
    <row r="199" spans="1:10" ht="15" customHeight="1" x14ac:dyDescent="0.35">
      <c r="A199" s="9" t="str">
        <f t="shared" si="9"/>
        <v/>
      </c>
      <c r="B199" s="7"/>
      <c r="C199" s="10"/>
      <c r="D199" s="11"/>
      <c r="E199" s="8"/>
      <c r="F199" s="8"/>
      <c r="G199" s="7"/>
      <c r="H199" s="12" t="str">
        <f>IF(B199="","",VLOOKUP(B199,Items!A:I,3,FALSE))</f>
        <v/>
      </c>
      <c r="I199" s="12" t="str">
        <f>IF(B199="","",VLOOKUP(B199,Items!A:I,9,FALSE))</f>
        <v/>
      </c>
      <c r="J199" s="12" t="str">
        <f t="shared" si="10"/>
        <v/>
      </c>
    </row>
    <row r="200" spans="1:10" ht="15" customHeight="1" x14ac:dyDescent="0.35">
      <c r="A200" s="9" t="str">
        <f t="shared" si="9"/>
        <v/>
      </c>
      <c r="B200" s="7"/>
      <c r="C200" s="10"/>
      <c r="D200" s="11"/>
      <c r="E200" s="8"/>
      <c r="F200" s="8"/>
      <c r="G200" s="7"/>
      <c r="H200" s="12" t="str">
        <f>IF(B200="","",VLOOKUP(B200,Items!A:I,3,FALSE))</f>
        <v/>
      </c>
      <c r="I200" s="12" t="str">
        <f>IF(B200="","",VLOOKUP(B200,Items!A:I,9,FALSE))</f>
        <v/>
      </c>
      <c r="J200" s="12" t="str">
        <f t="shared" si="10"/>
        <v/>
      </c>
    </row>
    <row r="201" spans="1:10" ht="15" customHeight="1" x14ac:dyDescent="0.35">
      <c r="A201" s="9" t="str">
        <f t="shared" si="9"/>
        <v/>
      </c>
      <c r="B201" s="7"/>
      <c r="C201" s="10"/>
      <c r="D201" s="11"/>
      <c r="E201" s="8"/>
      <c r="F201" s="8"/>
      <c r="G201" s="7"/>
      <c r="H201" s="12" t="str">
        <f>IF(B201="","",VLOOKUP(B201,Items!A:I,3,FALSE))</f>
        <v/>
      </c>
      <c r="I201" s="12" t="str">
        <f>IF(B201="","",VLOOKUP(B201,Items!A:I,9,FALSE))</f>
        <v/>
      </c>
      <c r="J201" s="12" t="str">
        <f t="shared" si="10"/>
        <v/>
      </c>
    </row>
  </sheetData>
  <dataValidations count="2">
    <dataValidation type="list" allowBlank="1" sqref="E2:E201" xr:uid="{00000000-0002-0000-0200-000000000000}">
      <formula1>"Brand New,Like New,Used - Excellent,Used - Good,Used - Fair"</formula1>
      <formula2>0</formula2>
    </dataValidation>
    <dataValidation type="list" allowBlank="1" sqref="G2:G201" xr:uid="{00000000-0002-0000-0200-000001000000}">
      <formula1>"XXS,XS,S,M,L,XL"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AI200"/>
  <sheetViews>
    <sheetView zoomScale="65" zoomScaleNormal="77" workbookViewId="0">
      <pane ySplit="550" activePane="bottomLeft"/>
      <selection activeCell="F1" sqref="F1"/>
      <selection pane="bottomLeft" activeCell="AF5" sqref="AF5"/>
    </sheetView>
  </sheetViews>
  <sheetFormatPr defaultColWidth="8.453125" defaultRowHeight="14.5" x14ac:dyDescent="0.35"/>
  <cols>
    <col min="1" max="2" width="13" customWidth="1"/>
    <col min="3" max="3" width="14" customWidth="1"/>
    <col min="4" max="4" width="9" customWidth="1"/>
    <col min="5" max="6" width="23.90625" customWidth="1"/>
    <col min="7" max="7" width="13" customWidth="1"/>
    <col min="8" max="8" width="39.90625" customWidth="1"/>
    <col min="9" max="9" width="7.90625" customWidth="1"/>
    <col min="10" max="10" width="12" customWidth="1"/>
    <col min="11" max="13" width="19" customWidth="1"/>
    <col min="14" max="14" width="13" customWidth="1"/>
    <col min="15" max="15" width="20" customWidth="1"/>
    <col min="16" max="16" width="22.08984375" customWidth="1"/>
    <col min="17" max="17" width="13" customWidth="1"/>
    <col min="18" max="18" width="14" customWidth="1"/>
    <col min="19" max="19" width="21" customWidth="1"/>
    <col min="20" max="20" width="18" customWidth="1"/>
    <col min="21" max="22" width="14" customWidth="1"/>
    <col min="23" max="24" width="17.7265625" bestFit="1" customWidth="1"/>
    <col min="25" max="25" width="14.453125" bestFit="1" customWidth="1"/>
    <col min="26" max="26" width="13" customWidth="1"/>
    <col min="27" max="27" width="25" customWidth="1"/>
    <col min="28" max="28" width="22.08984375" customWidth="1"/>
    <col min="29" max="29" width="14" customWidth="1"/>
    <col min="30" max="30" width="14.90625" customWidth="1"/>
    <col min="31" max="31" width="12" customWidth="1"/>
    <col min="32" max="32" width="18" bestFit="1" customWidth="1"/>
    <col min="33" max="33" width="19.26953125" bestFit="1" customWidth="1"/>
    <col min="34" max="34" width="16.1796875" bestFit="1" customWidth="1"/>
    <col min="35" max="35" width="15.7265625" customWidth="1"/>
  </cols>
  <sheetData>
    <row r="1" spans="1:35" ht="27.75" customHeight="1" x14ac:dyDescent="0.35">
      <c r="A1" s="16" t="s">
        <v>55</v>
      </c>
      <c r="B1" s="16" t="s">
        <v>56</v>
      </c>
      <c r="C1" s="16" t="s">
        <v>57</v>
      </c>
      <c r="D1" s="16" t="s">
        <v>58</v>
      </c>
      <c r="E1" s="16" t="s">
        <v>59</v>
      </c>
      <c r="F1" s="16" t="s">
        <v>60</v>
      </c>
      <c r="G1" s="16" t="s">
        <v>14</v>
      </c>
      <c r="H1" s="16" t="s">
        <v>17</v>
      </c>
      <c r="I1" s="16" t="s">
        <v>15</v>
      </c>
      <c r="J1" s="16" t="s">
        <v>61</v>
      </c>
      <c r="K1" s="16" t="s">
        <v>62</v>
      </c>
      <c r="L1" s="16" t="s">
        <v>63</v>
      </c>
      <c r="M1" s="16" t="s">
        <v>64</v>
      </c>
      <c r="N1" s="16" t="s">
        <v>65</v>
      </c>
      <c r="O1" s="16" t="s">
        <v>66</v>
      </c>
      <c r="P1" s="16" t="s">
        <v>67</v>
      </c>
      <c r="Q1" s="16" t="s">
        <v>68</v>
      </c>
      <c r="R1" s="16" t="s">
        <v>69</v>
      </c>
      <c r="S1" s="16" t="s">
        <v>70</v>
      </c>
      <c r="T1" s="16" t="s">
        <v>71</v>
      </c>
      <c r="U1" s="16" t="s">
        <v>20</v>
      </c>
      <c r="V1" s="16" t="s">
        <v>78</v>
      </c>
      <c r="W1" s="16" t="s">
        <v>79</v>
      </c>
      <c r="X1" s="16" t="s">
        <v>80</v>
      </c>
      <c r="Y1" s="16" t="s">
        <v>81</v>
      </c>
      <c r="Z1" s="16" t="s">
        <v>82</v>
      </c>
      <c r="AA1" s="16" t="s">
        <v>83</v>
      </c>
      <c r="AB1" s="16" t="s">
        <v>84</v>
      </c>
      <c r="AC1" s="16" t="s">
        <v>72</v>
      </c>
      <c r="AD1" s="16" t="s">
        <v>73</v>
      </c>
      <c r="AE1" s="16" t="s">
        <v>74</v>
      </c>
      <c r="AF1" s="16" t="s">
        <v>75</v>
      </c>
      <c r="AG1" s="16" t="s">
        <v>76</v>
      </c>
      <c r="AH1" s="16" t="s">
        <v>77</v>
      </c>
      <c r="AI1" s="16" t="s">
        <v>48</v>
      </c>
    </row>
    <row r="2" spans="1:35" ht="15" customHeight="1" x14ac:dyDescent="0.35">
      <c r="A2" s="13">
        <v>45946</v>
      </c>
      <c r="B2" t="s">
        <v>420</v>
      </c>
      <c r="C2" s="13">
        <v>45944</v>
      </c>
      <c r="D2" t="s">
        <v>85</v>
      </c>
      <c r="F2" t="s">
        <v>421</v>
      </c>
      <c r="G2" t="s">
        <v>33</v>
      </c>
      <c r="H2" t="s">
        <v>422</v>
      </c>
      <c r="I2" t="s">
        <v>23</v>
      </c>
      <c r="J2">
        <v>18</v>
      </c>
      <c r="K2">
        <v>7.99</v>
      </c>
      <c r="L2">
        <v>27.79</v>
      </c>
      <c r="M2">
        <v>0</v>
      </c>
      <c r="N2">
        <v>0</v>
      </c>
      <c r="O2">
        <v>1.42</v>
      </c>
      <c r="P2">
        <v>1.8</v>
      </c>
      <c r="R2" t="s">
        <v>86</v>
      </c>
      <c r="S2" s="13">
        <v>45948</v>
      </c>
      <c r="T2" s="13">
        <v>45950</v>
      </c>
      <c r="U2" t="s">
        <v>28</v>
      </c>
      <c r="V2" t="s">
        <v>423</v>
      </c>
      <c r="W2" t="s">
        <v>424</v>
      </c>
      <c r="Y2" t="s">
        <v>425</v>
      </c>
      <c r="Z2" t="s">
        <v>120</v>
      </c>
      <c r="AA2" t="s">
        <v>426</v>
      </c>
      <c r="AB2" t="s">
        <v>88</v>
      </c>
      <c r="AF2" s="8">
        <f t="shared" ref="AF2:AF33" si="0">IF(OR(A2="",C2=""),"",A2-C2)</f>
        <v>2</v>
      </c>
      <c r="AG2" s="8">
        <f t="shared" ref="AG2:AG33" si="1">IF(A2="","",IF(D2="No",IFERROR(K2*1,0),IF(D2="Yes",IFERROR(K2/E2,0),"")))</f>
        <v>7.99</v>
      </c>
      <c r="AH2" s="8">
        <f t="shared" ref="AH2:AH33" si="2">IF(A2="","",IFERROR(N2*1,0)+IFERROR(O2*1,0)+IFERROR(P2*1,0)+IFERROR(Q2*1,0))</f>
        <v>3.2199999999999998</v>
      </c>
      <c r="AI2" cm="1">
        <f t="array" ref="AI2">IF(A2="","",IFERROR(INDEX(Listings!A:A,MATCH(TEXT(C2,"MM/DD/YYYY")&amp;G2&amp;U2,Listings!J$2:J$201,0)+1),""))</f>
        <v>6</v>
      </c>
    </row>
    <row r="3" spans="1:35" ht="15" customHeight="1" x14ac:dyDescent="0.35">
      <c r="A3" s="13">
        <v>45948</v>
      </c>
      <c r="B3" t="s">
        <v>427</v>
      </c>
      <c r="C3" s="13">
        <v>45942</v>
      </c>
      <c r="D3" t="s">
        <v>85</v>
      </c>
      <c r="F3" t="s">
        <v>428</v>
      </c>
      <c r="G3" t="s">
        <v>115</v>
      </c>
      <c r="H3" t="s">
        <v>429</v>
      </c>
      <c r="I3" t="s">
        <v>138</v>
      </c>
      <c r="J3">
        <v>15</v>
      </c>
      <c r="K3">
        <v>11.99</v>
      </c>
      <c r="L3">
        <v>28.49</v>
      </c>
      <c r="M3">
        <v>0</v>
      </c>
      <c r="N3">
        <v>0</v>
      </c>
      <c r="O3">
        <v>1.19</v>
      </c>
      <c r="P3">
        <v>1.5</v>
      </c>
      <c r="R3" t="s">
        <v>86</v>
      </c>
      <c r="S3" s="13">
        <v>45950</v>
      </c>
      <c r="T3" s="13">
        <v>45953</v>
      </c>
      <c r="U3" t="s">
        <v>116</v>
      </c>
      <c r="V3" t="s">
        <v>430</v>
      </c>
      <c r="W3" t="s">
        <v>431</v>
      </c>
      <c r="Y3" t="s">
        <v>432</v>
      </c>
      <c r="Z3" t="s">
        <v>93</v>
      </c>
      <c r="AA3" t="s">
        <v>433</v>
      </c>
      <c r="AB3" t="s">
        <v>88</v>
      </c>
      <c r="AF3" s="8">
        <f t="shared" si="0"/>
        <v>6</v>
      </c>
      <c r="AG3" s="8">
        <f t="shared" si="1"/>
        <v>11.99</v>
      </c>
      <c r="AH3" s="8">
        <f t="shared" si="2"/>
        <v>2.69</v>
      </c>
      <c r="AI3" cm="1">
        <f t="array" ref="AI3">IF(A3="","",IFERROR(INDEX(Listings!A:A,MATCH(TEXT(C3,"MM/DD/YYYY")&amp;G3&amp;U3,Listings!J$2:J$201,0)+1),""))</f>
        <v>4</v>
      </c>
    </row>
    <row r="4" spans="1:35" ht="15" customHeight="1" x14ac:dyDescent="0.35">
      <c r="A4" s="13">
        <v>45948</v>
      </c>
      <c r="B4" t="s">
        <v>434</v>
      </c>
      <c r="C4" s="13">
        <v>45943</v>
      </c>
      <c r="D4" t="s">
        <v>85</v>
      </c>
      <c r="F4" t="s">
        <v>435</v>
      </c>
      <c r="G4" t="s">
        <v>151</v>
      </c>
      <c r="H4" t="s">
        <v>436</v>
      </c>
      <c r="I4" t="s">
        <v>27</v>
      </c>
      <c r="J4">
        <v>15</v>
      </c>
      <c r="K4">
        <v>11.99</v>
      </c>
      <c r="L4">
        <v>28.49</v>
      </c>
      <c r="M4">
        <v>0</v>
      </c>
      <c r="N4">
        <v>0</v>
      </c>
      <c r="O4">
        <v>1.19</v>
      </c>
      <c r="P4">
        <v>1.5</v>
      </c>
      <c r="R4" t="s">
        <v>86</v>
      </c>
      <c r="S4" s="13">
        <v>45950</v>
      </c>
      <c r="T4" s="13">
        <v>45953</v>
      </c>
      <c r="U4" t="s">
        <v>25</v>
      </c>
      <c r="V4" t="s">
        <v>437</v>
      </c>
      <c r="W4" t="s">
        <v>438</v>
      </c>
      <c r="Y4" t="s">
        <v>439</v>
      </c>
      <c r="Z4" t="s">
        <v>440</v>
      </c>
      <c r="AA4" t="s">
        <v>441</v>
      </c>
      <c r="AB4" t="s">
        <v>88</v>
      </c>
      <c r="AC4">
        <v>0.78</v>
      </c>
      <c r="AF4" s="8">
        <f t="shared" si="0"/>
        <v>5</v>
      </c>
      <c r="AG4" s="8">
        <f t="shared" si="1"/>
        <v>11.99</v>
      </c>
      <c r="AH4" s="8">
        <f t="shared" si="2"/>
        <v>2.69</v>
      </c>
      <c r="AI4" cm="1">
        <f t="array" ref="AI4">IF(A4="","",IFERROR(INDEX(Listings!A:A,MATCH(TEXT(C4,"MM/DD/YYYY")&amp;G4&amp;U4,Listings!J$2:J$201,0)+1),""))</f>
        <v>5</v>
      </c>
    </row>
    <row r="5" spans="1:35" ht="15" customHeight="1" x14ac:dyDescent="0.35">
      <c r="A5" s="13">
        <v>45950</v>
      </c>
      <c r="B5" t="s">
        <v>442</v>
      </c>
      <c r="C5" s="13">
        <v>45949</v>
      </c>
      <c r="D5" t="s">
        <v>85</v>
      </c>
      <c r="F5" t="s">
        <v>443</v>
      </c>
      <c r="G5" t="s">
        <v>39</v>
      </c>
      <c r="H5" t="s">
        <v>444</v>
      </c>
      <c r="I5" t="s">
        <v>30</v>
      </c>
      <c r="J5">
        <v>21.6</v>
      </c>
      <c r="K5">
        <v>6.49</v>
      </c>
      <c r="L5">
        <v>30.25</v>
      </c>
      <c r="M5">
        <v>0</v>
      </c>
      <c r="N5">
        <v>0</v>
      </c>
      <c r="O5">
        <v>1.71</v>
      </c>
      <c r="P5">
        <v>2.16</v>
      </c>
      <c r="R5" t="s">
        <v>86</v>
      </c>
      <c r="S5" s="13">
        <v>45952</v>
      </c>
      <c r="T5" s="13">
        <v>45955</v>
      </c>
      <c r="U5" t="s">
        <v>25</v>
      </c>
      <c r="V5" t="s">
        <v>445</v>
      </c>
      <c r="W5" t="s">
        <v>446</v>
      </c>
      <c r="Y5" t="s">
        <v>447</v>
      </c>
      <c r="Z5" t="s">
        <v>120</v>
      </c>
      <c r="AA5" t="s">
        <v>448</v>
      </c>
      <c r="AB5" t="s">
        <v>88</v>
      </c>
      <c r="AF5" s="8">
        <f t="shared" si="0"/>
        <v>1</v>
      </c>
      <c r="AG5" s="8">
        <f t="shared" si="1"/>
        <v>6.49</v>
      </c>
      <c r="AH5" s="8">
        <f t="shared" si="2"/>
        <v>3.87</v>
      </c>
      <c r="AI5" cm="1">
        <f t="array" ref="AI5">IF(A5="","",IFERROR(INDEX(Listings!A:A,MATCH(TEXT(C5,"MM/DD/YYYY")&amp;G5&amp;U5,Listings!J$2:J$201,0)+1),""))</f>
        <v>8</v>
      </c>
    </row>
    <row r="6" spans="1:35" ht="15" customHeight="1" x14ac:dyDescent="0.35">
      <c r="A6" s="13">
        <v>45952</v>
      </c>
      <c r="B6" t="s">
        <v>449</v>
      </c>
      <c r="C6" s="13">
        <v>45941</v>
      </c>
      <c r="D6" t="s">
        <v>85</v>
      </c>
      <c r="F6" t="s">
        <v>450</v>
      </c>
      <c r="G6" t="s">
        <v>132</v>
      </c>
      <c r="H6" t="s">
        <v>451</v>
      </c>
      <c r="I6" t="s">
        <v>30</v>
      </c>
      <c r="J6">
        <v>29</v>
      </c>
      <c r="K6">
        <v>4.99</v>
      </c>
      <c r="L6">
        <v>36.89</v>
      </c>
      <c r="M6">
        <v>0</v>
      </c>
      <c r="N6">
        <v>0</v>
      </c>
      <c r="O6">
        <v>2.29</v>
      </c>
      <c r="P6">
        <v>2.9</v>
      </c>
      <c r="R6" t="s">
        <v>86</v>
      </c>
      <c r="S6" s="13">
        <v>45954</v>
      </c>
      <c r="T6" s="13">
        <v>45957</v>
      </c>
      <c r="U6" t="s">
        <v>28</v>
      </c>
      <c r="V6" t="s">
        <v>452</v>
      </c>
      <c r="W6" t="s">
        <v>453</v>
      </c>
      <c r="Y6" t="s">
        <v>454</v>
      </c>
      <c r="Z6" t="s">
        <v>104</v>
      </c>
      <c r="AA6" t="s">
        <v>455</v>
      </c>
      <c r="AB6" t="s">
        <v>88</v>
      </c>
      <c r="AF6" s="8">
        <f t="shared" si="0"/>
        <v>11</v>
      </c>
      <c r="AG6" s="8">
        <f t="shared" si="1"/>
        <v>4.99</v>
      </c>
      <c r="AH6" s="8">
        <f t="shared" si="2"/>
        <v>5.1899999999999995</v>
      </c>
      <c r="AI6" cm="1">
        <f t="array" ref="AI6">IF(A6="","",IFERROR(INDEX(Listings!A:A,MATCH(TEXT(C6,"MM/DD/YYYY")&amp;G6&amp;U6,Listings!J$2:J$201,0)+1),""))</f>
        <v>3</v>
      </c>
    </row>
    <row r="7" spans="1:35" ht="15" customHeight="1" x14ac:dyDescent="0.35">
      <c r="A7" s="13">
        <v>45955</v>
      </c>
      <c r="B7" t="s">
        <v>456</v>
      </c>
      <c r="C7" s="13">
        <v>45951</v>
      </c>
      <c r="D7" t="s">
        <v>85</v>
      </c>
      <c r="F7" t="s">
        <v>457</v>
      </c>
      <c r="G7" t="s">
        <v>142</v>
      </c>
      <c r="H7" t="s">
        <v>458</v>
      </c>
      <c r="I7" t="s">
        <v>30</v>
      </c>
      <c r="J7">
        <v>10.5</v>
      </c>
      <c r="K7">
        <v>6.49</v>
      </c>
      <c r="L7">
        <v>18.04</v>
      </c>
      <c r="M7">
        <v>0</v>
      </c>
      <c r="N7">
        <v>0</v>
      </c>
      <c r="O7">
        <v>0.83</v>
      </c>
      <c r="P7">
        <v>1.05</v>
      </c>
      <c r="R7" t="s">
        <v>86</v>
      </c>
      <c r="S7" s="13">
        <v>45957</v>
      </c>
      <c r="T7" s="13">
        <v>45959</v>
      </c>
      <c r="U7" t="s">
        <v>28</v>
      </c>
      <c r="V7" t="s">
        <v>459</v>
      </c>
      <c r="W7" t="s">
        <v>460</v>
      </c>
      <c r="Y7" t="s">
        <v>461</v>
      </c>
      <c r="Z7" t="s">
        <v>462</v>
      </c>
      <c r="AA7" t="s">
        <v>463</v>
      </c>
      <c r="AB7" t="s">
        <v>88</v>
      </c>
      <c r="AC7">
        <v>1.05</v>
      </c>
      <c r="AF7" s="8">
        <f t="shared" si="0"/>
        <v>4</v>
      </c>
      <c r="AG7" s="8">
        <f t="shared" si="1"/>
        <v>6.49</v>
      </c>
      <c r="AH7" s="8">
        <f t="shared" si="2"/>
        <v>1.88</v>
      </c>
      <c r="AI7" cm="1">
        <f t="array" ref="AI7">IF(A7="","",IFERROR(INDEX(Listings!A:A,MATCH(TEXT(C7,"MM/DD/YYYY")&amp;G7&amp;U7,Listings!J$2:J$201,0)+1),""))</f>
        <v>10</v>
      </c>
    </row>
    <row r="8" spans="1:35" ht="15" customHeight="1" x14ac:dyDescent="0.35">
      <c r="A8" s="13">
        <v>45956</v>
      </c>
      <c r="B8" t="s">
        <v>464</v>
      </c>
      <c r="C8" s="13">
        <v>45955</v>
      </c>
      <c r="D8" t="s">
        <v>85</v>
      </c>
      <c r="F8" t="s">
        <v>465</v>
      </c>
      <c r="G8" t="s">
        <v>98</v>
      </c>
      <c r="H8" t="s">
        <v>466</v>
      </c>
      <c r="I8" t="s">
        <v>30</v>
      </c>
      <c r="J8">
        <v>9.1</v>
      </c>
      <c r="K8">
        <v>5.99</v>
      </c>
      <c r="L8">
        <v>16</v>
      </c>
      <c r="M8">
        <v>0</v>
      </c>
      <c r="N8">
        <v>0</v>
      </c>
      <c r="O8">
        <v>0.72</v>
      </c>
      <c r="P8">
        <v>0.91</v>
      </c>
      <c r="R8" t="s">
        <v>86</v>
      </c>
      <c r="S8" s="13">
        <v>45958</v>
      </c>
      <c r="T8" s="13">
        <v>45961</v>
      </c>
      <c r="U8" t="s">
        <v>25</v>
      </c>
      <c r="V8" t="s">
        <v>467</v>
      </c>
      <c r="W8" t="s">
        <v>468</v>
      </c>
      <c r="Y8" t="s">
        <v>469</v>
      </c>
      <c r="Z8" t="s">
        <v>120</v>
      </c>
      <c r="AA8" t="s">
        <v>470</v>
      </c>
      <c r="AB8" t="s">
        <v>88</v>
      </c>
      <c r="AC8">
        <v>0.63</v>
      </c>
      <c r="AF8" s="8">
        <f t="shared" si="0"/>
        <v>1</v>
      </c>
      <c r="AG8" s="8">
        <f t="shared" si="1"/>
        <v>5.99</v>
      </c>
      <c r="AH8" s="8">
        <f t="shared" si="2"/>
        <v>1.63</v>
      </c>
      <c r="AI8" cm="1">
        <f t="array" ref="AI8">IF(A8="","",IFERROR(INDEX(Listings!A:A,MATCH(TEXT(C8,"MM/DD/YYYY")&amp;G8&amp;U8,Listings!J$2:J$201,0)+1),""))</f>
        <v>11</v>
      </c>
    </row>
    <row r="9" spans="1:35" ht="15" customHeight="1" x14ac:dyDescent="0.35">
      <c r="A9" s="13">
        <v>45963</v>
      </c>
      <c r="B9" t="s">
        <v>471</v>
      </c>
      <c r="C9" s="13">
        <v>45939</v>
      </c>
      <c r="D9" t="s">
        <v>85</v>
      </c>
      <c r="F9" t="s">
        <v>472</v>
      </c>
      <c r="G9" t="s">
        <v>43</v>
      </c>
      <c r="H9" t="s">
        <v>473</v>
      </c>
      <c r="I9" t="s">
        <v>99</v>
      </c>
      <c r="J9">
        <v>30</v>
      </c>
      <c r="K9">
        <v>4.99</v>
      </c>
      <c r="L9">
        <v>37.99</v>
      </c>
      <c r="M9">
        <v>0</v>
      </c>
      <c r="N9">
        <v>0</v>
      </c>
      <c r="O9">
        <v>2.37</v>
      </c>
      <c r="P9">
        <v>3</v>
      </c>
      <c r="R9" t="s">
        <v>86</v>
      </c>
      <c r="S9" s="13">
        <v>45965</v>
      </c>
      <c r="T9" s="13">
        <v>45969</v>
      </c>
      <c r="U9" t="s">
        <v>87</v>
      </c>
      <c r="V9" t="s">
        <v>474</v>
      </c>
      <c r="W9" t="s">
        <v>475</v>
      </c>
      <c r="Y9" t="s">
        <v>476</v>
      </c>
      <c r="Z9" t="s">
        <v>112</v>
      </c>
      <c r="AA9" t="s">
        <v>477</v>
      </c>
      <c r="AB9" t="s">
        <v>88</v>
      </c>
      <c r="AC9">
        <v>2.06</v>
      </c>
      <c r="AF9" s="8">
        <f t="shared" si="0"/>
        <v>24</v>
      </c>
      <c r="AG9" s="8">
        <f t="shared" si="1"/>
        <v>4.99</v>
      </c>
      <c r="AH9" s="8">
        <f t="shared" si="2"/>
        <v>5.37</v>
      </c>
      <c r="AI9" cm="1">
        <f t="array" ref="AI9">IF(A9="","",IFERROR(INDEX(Listings!A:A,MATCH(TEXT(C9,"MM/DD/YYYY")&amp;G9&amp;U9,Listings!J$2:J$201,0)+1),""))</f>
        <v>2</v>
      </c>
    </row>
    <row r="10" spans="1:35" ht="15" customHeight="1" x14ac:dyDescent="0.35">
      <c r="A10" s="13">
        <v>45966</v>
      </c>
      <c r="B10" t="s">
        <v>478</v>
      </c>
      <c r="C10" s="13">
        <v>45962</v>
      </c>
      <c r="D10" t="s">
        <v>85</v>
      </c>
      <c r="F10" t="s">
        <v>479</v>
      </c>
      <c r="G10" t="s">
        <v>131</v>
      </c>
      <c r="H10" t="s">
        <v>480</v>
      </c>
      <c r="I10" t="s">
        <v>32</v>
      </c>
      <c r="J10">
        <v>28</v>
      </c>
      <c r="K10">
        <v>11.99</v>
      </c>
      <c r="L10">
        <v>42.79</v>
      </c>
      <c r="M10">
        <v>0</v>
      </c>
      <c r="N10">
        <v>0</v>
      </c>
      <c r="O10">
        <v>2.21</v>
      </c>
      <c r="P10">
        <v>2.8</v>
      </c>
      <c r="R10" t="s">
        <v>86</v>
      </c>
      <c r="S10" s="13">
        <v>45968</v>
      </c>
      <c r="T10" s="13">
        <v>45972</v>
      </c>
      <c r="U10" t="s">
        <v>40</v>
      </c>
      <c r="V10" t="s">
        <v>481</v>
      </c>
      <c r="W10" t="s">
        <v>482</v>
      </c>
      <c r="Y10" t="s">
        <v>483</v>
      </c>
      <c r="Z10" t="s">
        <v>108</v>
      </c>
      <c r="AA10" t="s">
        <v>484</v>
      </c>
      <c r="AB10" t="s">
        <v>88</v>
      </c>
      <c r="AF10" s="8">
        <f t="shared" si="0"/>
        <v>4</v>
      </c>
      <c r="AG10" s="8">
        <f t="shared" si="1"/>
        <v>11.99</v>
      </c>
      <c r="AH10" s="8">
        <f t="shared" si="2"/>
        <v>5.01</v>
      </c>
      <c r="AI10" cm="1">
        <f t="array" ref="AI10">IF(A10="","",IFERROR(INDEX(Listings!A:A,MATCH(TEXT(C10,"MM/DD/YYYY")&amp;G10&amp;U10,Listings!J$2:J$201,0)+1),""))</f>
        <v>15</v>
      </c>
    </row>
    <row r="11" spans="1:35" ht="15" customHeight="1" x14ac:dyDescent="0.35">
      <c r="A11" s="13">
        <v>45966</v>
      </c>
      <c r="B11" t="s">
        <v>485</v>
      </c>
      <c r="C11" s="13">
        <v>45963</v>
      </c>
      <c r="D11" t="s">
        <v>85</v>
      </c>
      <c r="F11" t="s">
        <v>486</v>
      </c>
      <c r="G11" t="s">
        <v>129</v>
      </c>
      <c r="H11" t="s">
        <v>487</v>
      </c>
      <c r="I11" t="s">
        <v>27</v>
      </c>
      <c r="J11">
        <v>4.5</v>
      </c>
      <c r="K11">
        <v>6.49</v>
      </c>
      <c r="L11">
        <v>11.44</v>
      </c>
      <c r="M11">
        <v>0</v>
      </c>
      <c r="N11">
        <v>0</v>
      </c>
      <c r="O11">
        <v>0.36</v>
      </c>
      <c r="P11">
        <v>0.45</v>
      </c>
      <c r="R11" t="s">
        <v>86</v>
      </c>
      <c r="S11" s="13">
        <v>45968</v>
      </c>
      <c r="T11" s="13">
        <v>45972</v>
      </c>
      <c r="U11" t="s">
        <v>25</v>
      </c>
      <c r="V11" t="s">
        <v>488</v>
      </c>
      <c r="W11" t="s">
        <v>489</v>
      </c>
      <c r="Y11" t="s">
        <v>490</v>
      </c>
      <c r="Z11" t="s">
        <v>91</v>
      </c>
      <c r="AA11" t="s">
        <v>491</v>
      </c>
      <c r="AB11" t="s">
        <v>88</v>
      </c>
      <c r="AC11">
        <v>0.24</v>
      </c>
      <c r="AF11" s="8">
        <f t="shared" si="0"/>
        <v>3</v>
      </c>
      <c r="AG11" s="8">
        <f t="shared" si="1"/>
        <v>6.49</v>
      </c>
      <c r="AH11" s="8">
        <f t="shared" si="2"/>
        <v>0.81</v>
      </c>
      <c r="AI11" cm="1">
        <f t="array" ref="AI11">IF(A11="","",IFERROR(INDEX(Listings!A:A,MATCH(TEXT(C11,"MM/DD/YYYY")&amp;G11&amp;U11,Listings!J$2:J$201,0)+1),""))</f>
        <v>17</v>
      </c>
    </row>
    <row r="12" spans="1:35" ht="15" customHeight="1" x14ac:dyDescent="0.35">
      <c r="A12" s="13">
        <v>45971</v>
      </c>
      <c r="B12" t="s">
        <v>492</v>
      </c>
      <c r="C12" s="13">
        <v>45962</v>
      </c>
      <c r="D12" t="s">
        <v>85</v>
      </c>
      <c r="F12" t="s">
        <v>493</v>
      </c>
      <c r="G12" t="s">
        <v>130</v>
      </c>
      <c r="H12" t="s">
        <v>494</v>
      </c>
      <c r="I12" t="s">
        <v>32</v>
      </c>
      <c r="J12">
        <v>10.8</v>
      </c>
      <c r="K12">
        <v>11.99</v>
      </c>
      <c r="L12">
        <v>23.87</v>
      </c>
      <c r="M12">
        <v>0</v>
      </c>
      <c r="N12">
        <v>0</v>
      </c>
      <c r="O12">
        <v>0.85</v>
      </c>
      <c r="P12">
        <v>1.08</v>
      </c>
      <c r="R12" t="s">
        <v>86</v>
      </c>
      <c r="S12" s="13">
        <v>45973</v>
      </c>
      <c r="T12" s="13">
        <v>45976</v>
      </c>
      <c r="U12" t="s">
        <v>141</v>
      </c>
      <c r="V12" t="s">
        <v>495</v>
      </c>
      <c r="W12" t="s">
        <v>496</v>
      </c>
      <c r="Y12" t="s">
        <v>497</v>
      </c>
      <c r="Z12" t="s">
        <v>123</v>
      </c>
      <c r="AA12" t="s">
        <v>498</v>
      </c>
      <c r="AB12" t="s">
        <v>88</v>
      </c>
      <c r="AF12" s="8">
        <f t="shared" si="0"/>
        <v>9</v>
      </c>
      <c r="AG12" s="8">
        <f t="shared" si="1"/>
        <v>11.99</v>
      </c>
      <c r="AH12" s="8">
        <f t="shared" si="2"/>
        <v>1.9300000000000002</v>
      </c>
      <c r="AI12" cm="1">
        <f t="array" ref="AI12">IF(A12="","",IFERROR(INDEX(Listings!A:A,MATCH(TEXT(C12,"MM/DD/YYYY")&amp;G12&amp;U12,Listings!J$2:J$201,0)+1),""))</f>
        <v>16</v>
      </c>
    </row>
    <row r="13" spans="1:35" ht="15" customHeight="1" x14ac:dyDescent="0.35">
      <c r="A13" s="13">
        <v>45975</v>
      </c>
      <c r="B13" t="s">
        <v>499</v>
      </c>
      <c r="C13" s="13">
        <v>45965</v>
      </c>
      <c r="D13" t="s">
        <v>85</v>
      </c>
      <c r="F13" t="s">
        <v>500</v>
      </c>
      <c r="G13" t="s">
        <v>43</v>
      </c>
      <c r="H13" t="s">
        <v>501</v>
      </c>
      <c r="I13" t="s">
        <v>23</v>
      </c>
      <c r="J13">
        <v>19.5</v>
      </c>
      <c r="K13">
        <v>3.99</v>
      </c>
      <c r="L13">
        <v>25.44</v>
      </c>
      <c r="M13">
        <v>0</v>
      </c>
      <c r="N13">
        <v>0</v>
      </c>
      <c r="O13">
        <v>1.54</v>
      </c>
      <c r="P13">
        <v>1.95</v>
      </c>
      <c r="R13" t="s">
        <v>86</v>
      </c>
      <c r="S13" s="13">
        <v>45977</v>
      </c>
      <c r="T13" s="13">
        <v>45979</v>
      </c>
      <c r="U13" t="s">
        <v>40</v>
      </c>
      <c r="V13" t="s">
        <v>502</v>
      </c>
      <c r="W13" t="s">
        <v>503</v>
      </c>
      <c r="Y13" t="s">
        <v>504</v>
      </c>
      <c r="Z13" t="s">
        <v>96</v>
      </c>
      <c r="AA13" t="s">
        <v>505</v>
      </c>
      <c r="AB13" t="s">
        <v>88</v>
      </c>
      <c r="AC13">
        <v>1.37</v>
      </c>
      <c r="AF13" s="8">
        <f t="shared" si="0"/>
        <v>10</v>
      </c>
      <c r="AG13" s="8">
        <f t="shared" si="1"/>
        <v>3.99</v>
      </c>
      <c r="AH13" s="8">
        <f t="shared" si="2"/>
        <v>3.49</v>
      </c>
      <c r="AI13" cm="1">
        <f t="array" ref="AI13">IF(A13="","",IFERROR(INDEX(Listings!A:A,MATCH(TEXT(C13,"MM/DD/YYYY")&amp;G13&amp;U13,Listings!J$2:J$201,0)+1),""))</f>
        <v>18</v>
      </c>
    </row>
    <row r="14" spans="1:35" ht="15" customHeight="1" x14ac:dyDescent="0.35">
      <c r="A14" s="13">
        <v>45975</v>
      </c>
      <c r="B14" t="s">
        <v>506</v>
      </c>
      <c r="C14" s="13">
        <v>45966</v>
      </c>
      <c r="D14" t="s">
        <v>85</v>
      </c>
      <c r="F14" t="s">
        <v>507</v>
      </c>
      <c r="G14" t="s">
        <v>90</v>
      </c>
      <c r="H14" t="s">
        <v>508</v>
      </c>
      <c r="I14" t="s">
        <v>23</v>
      </c>
      <c r="J14">
        <v>19</v>
      </c>
      <c r="K14">
        <v>3.99</v>
      </c>
      <c r="L14">
        <v>24.89</v>
      </c>
      <c r="M14">
        <v>0</v>
      </c>
      <c r="N14">
        <v>0</v>
      </c>
      <c r="O14">
        <v>1.5</v>
      </c>
      <c r="P14">
        <v>1.9</v>
      </c>
      <c r="R14" t="s">
        <v>86</v>
      </c>
      <c r="S14" s="13">
        <v>45977</v>
      </c>
      <c r="T14" s="13">
        <v>45981</v>
      </c>
      <c r="U14" t="s">
        <v>25</v>
      </c>
      <c r="V14" t="s">
        <v>509</v>
      </c>
      <c r="W14" t="s">
        <v>510</v>
      </c>
      <c r="Y14" t="s">
        <v>511</v>
      </c>
      <c r="Z14" t="s">
        <v>109</v>
      </c>
      <c r="AA14" t="s">
        <v>512</v>
      </c>
      <c r="AB14" t="s">
        <v>88</v>
      </c>
      <c r="AC14">
        <v>1.28</v>
      </c>
      <c r="AF14" s="8">
        <f t="shared" si="0"/>
        <v>9</v>
      </c>
      <c r="AG14" s="8">
        <f t="shared" si="1"/>
        <v>3.99</v>
      </c>
      <c r="AH14" s="8">
        <f t="shared" si="2"/>
        <v>3.4</v>
      </c>
      <c r="AI14" cm="1">
        <f t="array" ref="AI14">IF(A14="","",IFERROR(INDEX(Listings!A:A,MATCH(TEXT(C14,"MM/DD/YYYY")&amp;G14&amp;U14,Listings!J$2:J$201,0)+1),""))</f>
        <v>20</v>
      </c>
    </row>
    <row r="15" spans="1:35" ht="15" customHeight="1" x14ac:dyDescent="0.35">
      <c r="A15" s="13">
        <v>45977</v>
      </c>
      <c r="B15" t="s">
        <v>513</v>
      </c>
      <c r="C15" s="13">
        <v>45961</v>
      </c>
      <c r="D15" t="s">
        <v>85</v>
      </c>
      <c r="F15" t="s">
        <v>514</v>
      </c>
      <c r="G15" t="s">
        <v>29</v>
      </c>
      <c r="H15" t="s">
        <v>515</v>
      </c>
      <c r="I15" t="s">
        <v>23</v>
      </c>
      <c r="J15">
        <v>40</v>
      </c>
      <c r="K15">
        <v>11.99</v>
      </c>
      <c r="L15">
        <v>55.99</v>
      </c>
      <c r="M15">
        <v>0</v>
      </c>
      <c r="N15">
        <v>0</v>
      </c>
      <c r="O15">
        <v>3.16</v>
      </c>
      <c r="P15">
        <v>4</v>
      </c>
      <c r="R15" t="s">
        <v>86</v>
      </c>
      <c r="S15" s="13">
        <v>45979</v>
      </c>
      <c r="T15" s="13">
        <v>45982</v>
      </c>
      <c r="U15" t="s">
        <v>40</v>
      </c>
      <c r="V15" t="s">
        <v>516</v>
      </c>
      <c r="W15" t="s">
        <v>517</v>
      </c>
      <c r="Y15" t="s">
        <v>518</v>
      </c>
      <c r="Z15" t="s">
        <v>91</v>
      </c>
      <c r="AA15" t="s">
        <v>519</v>
      </c>
      <c r="AB15" t="s">
        <v>88</v>
      </c>
      <c r="AF15" s="8">
        <f t="shared" si="0"/>
        <v>16</v>
      </c>
      <c r="AG15" s="8">
        <f t="shared" si="1"/>
        <v>11.99</v>
      </c>
      <c r="AH15" s="8">
        <f t="shared" si="2"/>
        <v>7.16</v>
      </c>
      <c r="AI15" cm="1">
        <f t="array" ref="AI15">IF(A15="","",IFERROR(INDEX(Listings!A:A,MATCH(TEXT(C15,"MM/DD/YYYY")&amp;G15&amp;U15,Listings!J$2:J$201,0)+1),""))</f>
        <v>13</v>
      </c>
    </row>
    <row r="16" spans="1:35" ht="15" customHeight="1" x14ac:dyDescent="0.35">
      <c r="A16" s="13">
        <v>45980</v>
      </c>
      <c r="B16" t="s">
        <v>520</v>
      </c>
      <c r="C16" s="13">
        <v>45961</v>
      </c>
      <c r="D16" t="s">
        <v>85</v>
      </c>
      <c r="F16" t="s">
        <v>521</v>
      </c>
      <c r="G16" t="s">
        <v>115</v>
      </c>
      <c r="H16" t="s">
        <v>522</v>
      </c>
      <c r="I16" t="s">
        <v>27</v>
      </c>
      <c r="J16">
        <v>25</v>
      </c>
      <c r="K16">
        <v>11.99</v>
      </c>
      <c r="L16">
        <v>39.49</v>
      </c>
      <c r="M16">
        <v>0</v>
      </c>
      <c r="N16">
        <v>0</v>
      </c>
      <c r="O16">
        <v>1.98</v>
      </c>
      <c r="P16">
        <v>2.5</v>
      </c>
      <c r="R16" t="s">
        <v>86</v>
      </c>
      <c r="S16" s="13">
        <v>45982</v>
      </c>
      <c r="T16" s="13">
        <v>45984</v>
      </c>
      <c r="U16" t="s">
        <v>40</v>
      </c>
      <c r="V16" t="s">
        <v>523</v>
      </c>
      <c r="W16" t="s">
        <v>524</v>
      </c>
      <c r="Y16" t="s">
        <v>525</v>
      </c>
      <c r="Z16" t="s">
        <v>100</v>
      </c>
      <c r="AA16" t="s">
        <v>526</v>
      </c>
      <c r="AB16" t="s">
        <v>88</v>
      </c>
      <c r="AC16">
        <v>1.72</v>
      </c>
      <c r="AF16" s="8">
        <f t="shared" si="0"/>
        <v>19</v>
      </c>
      <c r="AG16" s="8">
        <f t="shared" si="1"/>
        <v>11.99</v>
      </c>
      <c r="AH16" s="8">
        <f t="shared" si="2"/>
        <v>4.4800000000000004</v>
      </c>
      <c r="AI16" cm="1">
        <f t="array" ref="AI16">IF(A16="","",IFERROR(INDEX(Listings!A:A,MATCH(TEXT(C16,"MM/DD/YYYY")&amp;G16&amp;U16,Listings!J$2:J$201,0)+1),""))</f>
        <v>14</v>
      </c>
    </row>
    <row r="17" spans="1:35" ht="15" customHeight="1" x14ac:dyDescent="0.35">
      <c r="A17" s="13">
        <v>45984</v>
      </c>
      <c r="B17" t="s">
        <v>527</v>
      </c>
      <c r="C17" s="13">
        <v>45970</v>
      </c>
      <c r="D17" t="s">
        <v>85</v>
      </c>
      <c r="F17" t="s">
        <v>528</v>
      </c>
      <c r="G17" t="s">
        <v>45</v>
      </c>
      <c r="H17" t="s">
        <v>529</v>
      </c>
      <c r="I17" t="s">
        <v>30</v>
      </c>
      <c r="J17">
        <v>20</v>
      </c>
      <c r="K17">
        <v>5.99</v>
      </c>
      <c r="L17">
        <v>27.99</v>
      </c>
      <c r="M17">
        <v>0</v>
      </c>
      <c r="N17">
        <v>0</v>
      </c>
      <c r="O17">
        <v>1.58</v>
      </c>
      <c r="P17">
        <v>2</v>
      </c>
      <c r="R17" t="s">
        <v>86</v>
      </c>
      <c r="S17" s="13">
        <v>45986</v>
      </c>
      <c r="T17" s="13">
        <v>45988</v>
      </c>
      <c r="U17" t="s">
        <v>25</v>
      </c>
      <c r="V17" t="s">
        <v>530</v>
      </c>
      <c r="W17" t="s">
        <v>531</v>
      </c>
      <c r="Y17" t="s">
        <v>532</v>
      </c>
      <c r="Z17" t="s">
        <v>440</v>
      </c>
      <c r="AA17" t="s">
        <v>533</v>
      </c>
      <c r="AB17" t="s">
        <v>88</v>
      </c>
      <c r="AF17" s="8">
        <f t="shared" si="0"/>
        <v>14</v>
      </c>
      <c r="AG17" s="8">
        <f t="shared" si="1"/>
        <v>5.99</v>
      </c>
      <c r="AH17" s="8">
        <f t="shared" si="2"/>
        <v>3.58</v>
      </c>
      <c r="AI17" cm="1">
        <f t="array" ref="AI17">IF(A17="","",IFERROR(INDEX(Listings!A:A,MATCH(TEXT(C17,"MM/DD/YYYY")&amp;G17&amp;U17,Listings!J$2:J$201,0)+1),""))</f>
        <v>21</v>
      </c>
    </row>
    <row r="18" spans="1:35" ht="15" customHeight="1" x14ac:dyDescent="0.35">
      <c r="A18" s="13">
        <v>45993</v>
      </c>
      <c r="B18" t="s">
        <v>534</v>
      </c>
      <c r="C18" s="13">
        <v>45990</v>
      </c>
      <c r="D18" t="s">
        <v>85</v>
      </c>
      <c r="F18" t="s">
        <v>535</v>
      </c>
      <c r="G18" t="s">
        <v>151</v>
      </c>
      <c r="H18" t="s">
        <v>536</v>
      </c>
      <c r="I18" t="s">
        <v>30</v>
      </c>
      <c r="J18">
        <v>30</v>
      </c>
      <c r="K18">
        <v>7.99</v>
      </c>
      <c r="L18">
        <v>40.99</v>
      </c>
      <c r="M18">
        <v>0</v>
      </c>
      <c r="N18">
        <v>0</v>
      </c>
      <c r="O18">
        <v>2.37</v>
      </c>
      <c r="P18">
        <v>3</v>
      </c>
      <c r="R18" t="s">
        <v>86</v>
      </c>
      <c r="S18" s="13">
        <v>45995</v>
      </c>
      <c r="T18" s="13">
        <v>45998</v>
      </c>
      <c r="U18" t="s">
        <v>40</v>
      </c>
      <c r="V18" t="s">
        <v>537</v>
      </c>
      <c r="W18" t="s">
        <v>538</v>
      </c>
      <c r="Y18" t="s">
        <v>539</v>
      </c>
      <c r="Z18" t="s">
        <v>119</v>
      </c>
      <c r="AA18" t="s">
        <v>540</v>
      </c>
      <c r="AB18" t="s">
        <v>88</v>
      </c>
      <c r="AF18" s="8">
        <f t="shared" si="0"/>
        <v>3</v>
      </c>
      <c r="AG18" s="8">
        <f t="shared" si="1"/>
        <v>7.99</v>
      </c>
      <c r="AH18" s="8">
        <f t="shared" si="2"/>
        <v>5.37</v>
      </c>
      <c r="AI18" cm="1">
        <f t="array" ref="AI18">IF(A18="","",IFERROR(INDEX(Listings!A:A,MATCH(TEXT(C18,"MM/DD/YYYY")&amp;G18&amp;U18,Listings!J$2:J$201,0)+1),""))</f>
        <v>25</v>
      </c>
    </row>
    <row r="19" spans="1:35" ht="15" customHeight="1" x14ac:dyDescent="0.35">
      <c r="A19" s="13">
        <v>45996</v>
      </c>
      <c r="B19" t="s">
        <v>541</v>
      </c>
      <c r="C19" s="13">
        <v>45971</v>
      </c>
      <c r="D19" t="s">
        <v>85</v>
      </c>
      <c r="F19" t="s">
        <v>542</v>
      </c>
      <c r="G19" t="s">
        <v>131</v>
      </c>
      <c r="H19" t="s">
        <v>543</v>
      </c>
      <c r="I19" t="s">
        <v>23</v>
      </c>
      <c r="J19">
        <v>22</v>
      </c>
      <c r="K19">
        <v>5.99</v>
      </c>
      <c r="L19">
        <v>30.19</v>
      </c>
      <c r="M19">
        <v>0</v>
      </c>
      <c r="N19">
        <v>0</v>
      </c>
      <c r="O19">
        <v>1.74</v>
      </c>
      <c r="P19">
        <v>2.2000000000000002</v>
      </c>
      <c r="R19" t="s">
        <v>86</v>
      </c>
      <c r="S19" s="13">
        <v>45998</v>
      </c>
      <c r="T19" s="13">
        <v>46001</v>
      </c>
      <c r="U19" t="s">
        <v>28</v>
      </c>
      <c r="V19" t="s">
        <v>544</v>
      </c>
      <c r="W19" t="s">
        <v>545</v>
      </c>
      <c r="Y19" t="s">
        <v>546</v>
      </c>
      <c r="Z19" t="s">
        <v>100</v>
      </c>
      <c r="AA19" t="s">
        <v>547</v>
      </c>
      <c r="AB19" t="s">
        <v>88</v>
      </c>
      <c r="AC19">
        <v>1.89</v>
      </c>
      <c r="AF19" s="8">
        <f t="shared" si="0"/>
        <v>25</v>
      </c>
      <c r="AG19" s="8">
        <f t="shared" si="1"/>
        <v>5.99</v>
      </c>
      <c r="AH19" s="8">
        <f t="shared" si="2"/>
        <v>3.9400000000000004</v>
      </c>
      <c r="AI19" cm="1">
        <f t="array" ref="AI19">IF(A19="","",IFERROR(INDEX(Listings!A:A,MATCH(TEXT(C19,"MM/DD/YYYY")&amp;G19&amp;U19,Listings!J$2:J$201,0)+1),""))</f>
        <v>22</v>
      </c>
    </row>
    <row r="20" spans="1:35" ht="15" customHeight="1" x14ac:dyDescent="0.35">
      <c r="A20" s="13">
        <v>46024</v>
      </c>
      <c r="B20" t="s">
        <v>548</v>
      </c>
      <c r="C20" s="13">
        <v>46012</v>
      </c>
      <c r="D20" t="s">
        <v>85</v>
      </c>
      <c r="F20" t="s">
        <v>549</v>
      </c>
      <c r="G20" t="s">
        <v>90</v>
      </c>
      <c r="H20" t="s">
        <v>550</v>
      </c>
      <c r="I20" t="s">
        <v>23</v>
      </c>
      <c r="J20">
        <v>15</v>
      </c>
      <c r="K20">
        <v>4.99</v>
      </c>
      <c r="L20">
        <v>21.49</v>
      </c>
      <c r="M20">
        <v>0</v>
      </c>
      <c r="N20">
        <v>0</v>
      </c>
      <c r="O20">
        <v>1.19</v>
      </c>
      <c r="P20">
        <v>1.5</v>
      </c>
      <c r="R20" t="s">
        <v>86</v>
      </c>
      <c r="S20" s="13">
        <v>46026</v>
      </c>
      <c r="T20" s="13">
        <v>46030</v>
      </c>
      <c r="U20" t="s">
        <v>111</v>
      </c>
      <c r="V20" t="s">
        <v>551</v>
      </c>
      <c r="W20" t="s">
        <v>552</v>
      </c>
      <c r="Y20" t="s">
        <v>553</v>
      </c>
      <c r="Z20" t="s">
        <v>119</v>
      </c>
      <c r="AA20" t="s">
        <v>554</v>
      </c>
      <c r="AB20" t="s">
        <v>88</v>
      </c>
      <c r="AF20" s="8">
        <f t="shared" si="0"/>
        <v>12</v>
      </c>
      <c r="AG20" s="8">
        <f t="shared" si="1"/>
        <v>4.99</v>
      </c>
      <c r="AH20" s="8">
        <f t="shared" si="2"/>
        <v>2.69</v>
      </c>
      <c r="AI20" cm="1">
        <f t="array" ref="AI20">IF(A20="","",IFERROR(INDEX(Listings!A:A,MATCH(TEXT(C20,"MM/DD/YYYY")&amp;G20&amp;U20,Listings!J$2:J$201,0)+1),""))</f>
        <v>30</v>
      </c>
    </row>
    <row r="21" spans="1:35" ht="15" customHeight="1" x14ac:dyDescent="0.35">
      <c r="A21" s="13">
        <v>46025</v>
      </c>
      <c r="B21" t="s">
        <v>555</v>
      </c>
      <c r="C21" s="13">
        <v>46019</v>
      </c>
      <c r="D21" t="s">
        <v>85</v>
      </c>
      <c r="F21" t="s">
        <v>556</v>
      </c>
      <c r="G21" t="s">
        <v>39</v>
      </c>
      <c r="H21" t="s">
        <v>557</v>
      </c>
      <c r="I21" t="s">
        <v>30</v>
      </c>
      <c r="J21">
        <v>21</v>
      </c>
      <c r="K21">
        <v>4.99</v>
      </c>
      <c r="L21">
        <v>28.09</v>
      </c>
      <c r="M21">
        <v>0</v>
      </c>
      <c r="N21">
        <v>0</v>
      </c>
      <c r="O21">
        <v>1.66</v>
      </c>
      <c r="P21">
        <v>2.1</v>
      </c>
      <c r="R21" t="s">
        <v>86</v>
      </c>
      <c r="S21" s="13">
        <v>46027</v>
      </c>
      <c r="T21" s="13">
        <v>46029</v>
      </c>
      <c r="U21" t="s">
        <v>25</v>
      </c>
      <c r="V21" t="s">
        <v>558</v>
      </c>
      <c r="W21" t="s">
        <v>559</v>
      </c>
      <c r="Y21" t="s">
        <v>560</v>
      </c>
      <c r="Z21" t="s">
        <v>93</v>
      </c>
      <c r="AA21" t="s">
        <v>561</v>
      </c>
      <c r="AB21" t="s">
        <v>88</v>
      </c>
      <c r="AC21">
        <v>1.02</v>
      </c>
      <c r="AF21" s="8">
        <f t="shared" si="0"/>
        <v>6</v>
      </c>
      <c r="AG21" s="8">
        <f t="shared" si="1"/>
        <v>4.99</v>
      </c>
      <c r="AH21" s="8">
        <f t="shared" si="2"/>
        <v>3.76</v>
      </c>
      <c r="AI21" cm="1">
        <f t="array" ref="AI21">IF(A21="","",IFERROR(INDEX(Listings!A:A,MATCH(TEXT(C21,"MM/DD/YYYY")&amp;G21&amp;U21,Listings!J$2:J$201,0)+1),""))</f>
        <v>37</v>
      </c>
    </row>
    <row r="22" spans="1:35" ht="15" customHeight="1" x14ac:dyDescent="0.35">
      <c r="A22" s="13">
        <v>46025</v>
      </c>
      <c r="B22" t="s">
        <v>562</v>
      </c>
      <c r="C22" s="13">
        <v>46020</v>
      </c>
      <c r="D22" t="s">
        <v>85</v>
      </c>
      <c r="F22" t="s">
        <v>563</v>
      </c>
      <c r="G22" t="s">
        <v>31</v>
      </c>
      <c r="H22" t="s">
        <v>564</v>
      </c>
      <c r="I22" t="s">
        <v>23</v>
      </c>
      <c r="J22">
        <v>9</v>
      </c>
      <c r="K22">
        <v>6.49</v>
      </c>
      <c r="L22">
        <v>16.39</v>
      </c>
      <c r="M22">
        <v>0</v>
      </c>
      <c r="N22">
        <v>0</v>
      </c>
      <c r="O22">
        <v>0.71</v>
      </c>
      <c r="P22">
        <v>0.9</v>
      </c>
      <c r="R22" t="s">
        <v>86</v>
      </c>
      <c r="S22" s="13">
        <v>46027</v>
      </c>
      <c r="T22" s="13">
        <v>46030</v>
      </c>
      <c r="U22" t="s">
        <v>111</v>
      </c>
      <c r="V22" t="s">
        <v>565</v>
      </c>
      <c r="W22" t="s">
        <v>566</v>
      </c>
      <c r="Y22" t="s">
        <v>567</v>
      </c>
      <c r="Z22" t="s">
        <v>105</v>
      </c>
      <c r="AA22" t="s">
        <v>568</v>
      </c>
      <c r="AB22" t="s">
        <v>88</v>
      </c>
      <c r="AC22">
        <v>0.81</v>
      </c>
      <c r="AF22" s="8">
        <f t="shared" si="0"/>
        <v>5</v>
      </c>
      <c r="AG22" s="8">
        <f t="shared" si="1"/>
        <v>6.49</v>
      </c>
      <c r="AH22" s="8">
        <f t="shared" si="2"/>
        <v>1.6099999999999999</v>
      </c>
      <c r="AI22" cm="1">
        <f t="array" ref="AI22">IF(A22="","",IFERROR(INDEX(Listings!A:A,MATCH(TEXT(C22,"MM/DD/YYYY")&amp;G22&amp;U22,Listings!J$2:J$201,0)+1),""))</f>
        <v>38</v>
      </c>
    </row>
    <row r="23" spans="1:35" ht="15" customHeight="1" x14ac:dyDescent="0.35">
      <c r="A23" s="13">
        <v>46026</v>
      </c>
      <c r="B23" t="s">
        <v>569</v>
      </c>
      <c r="C23" s="13">
        <v>46012</v>
      </c>
      <c r="D23" t="s">
        <v>85</v>
      </c>
      <c r="F23" t="s">
        <v>570</v>
      </c>
      <c r="G23" t="s">
        <v>129</v>
      </c>
      <c r="H23" t="s">
        <v>571</v>
      </c>
      <c r="I23" t="s">
        <v>23</v>
      </c>
      <c r="J23">
        <v>28.9</v>
      </c>
      <c r="K23">
        <v>6.49</v>
      </c>
      <c r="L23">
        <v>38.28</v>
      </c>
      <c r="M23">
        <v>0</v>
      </c>
      <c r="N23">
        <v>0</v>
      </c>
      <c r="O23">
        <v>2.2799999999999998</v>
      </c>
      <c r="P23">
        <v>2.89</v>
      </c>
      <c r="R23" t="s">
        <v>86</v>
      </c>
      <c r="S23" s="13">
        <v>46028</v>
      </c>
      <c r="T23" s="13">
        <v>46031</v>
      </c>
      <c r="U23" t="s">
        <v>40</v>
      </c>
      <c r="V23" t="s">
        <v>572</v>
      </c>
      <c r="W23" t="s">
        <v>573</v>
      </c>
      <c r="Y23" t="s">
        <v>574</v>
      </c>
      <c r="Z23" t="s">
        <v>118</v>
      </c>
      <c r="AA23" t="s">
        <v>575</v>
      </c>
      <c r="AB23" t="s">
        <v>88</v>
      </c>
      <c r="AC23">
        <v>2.46</v>
      </c>
      <c r="AF23" s="8">
        <f t="shared" si="0"/>
        <v>14</v>
      </c>
      <c r="AG23" s="8">
        <f t="shared" si="1"/>
        <v>6.49</v>
      </c>
      <c r="AH23" s="8">
        <f t="shared" si="2"/>
        <v>5.17</v>
      </c>
      <c r="AI23" cm="1">
        <f t="array" ref="AI23">IF(A23="","",IFERROR(INDEX(Listings!A:A,MATCH(TEXT(C23,"MM/DD/YYYY")&amp;G23&amp;U23,Listings!J$2:J$201,0)+1),""))</f>
        <v>31</v>
      </c>
    </row>
    <row r="24" spans="1:35" ht="15" customHeight="1" x14ac:dyDescent="0.35">
      <c r="A24" s="13">
        <v>46026</v>
      </c>
      <c r="B24" t="s">
        <v>576</v>
      </c>
      <c r="C24" s="13">
        <v>46022</v>
      </c>
      <c r="D24" t="s">
        <v>85</v>
      </c>
      <c r="F24" t="s">
        <v>577</v>
      </c>
      <c r="G24" t="s">
        <v>167</v>
      </c>
      <c r="H24" t="s">
        <v>578</v>
      </c>
      <c r="I24" t="s">
        <v>27</v>
      </c>
      <c r="J24">
        <v>20</v>
      </c>
      <c r="K24">
        <v>5.99</v>
      </c>
      <c r="L24">
        <v>27.99</v>
      </c>
      <c r="M24">
        <v>0</v>
      </c>
      <c r="N24">
        <v>0</v>
      </c>
      <c r="O24">
        <v>1.58</v>
      </c>
      <c r="P24">
        <v>2</v>
      </c>
      <c r="R24" t="s">
        <v>86</v>
      </c>
      <c r="S24" s="13">
        <v>46028</v>
      </c>
      <c r="T24" s="13">
        <v>46031</v>
      </c>
      <c r="U24" t="s">
        <v>25</v>
      </c>
      <c r="V24" t="s">
        <v>579</v>
      </c>
      <c r="W24" t="s">
        <v>580</v>
      </c>
      <c r="Y24" t="s">
        <v>581</v>
      </c>
      <c r="Z24" t="s">
        <v>462</v>
      </c>
      <c r="AA24" t="s">
        <v>582</v>
      </c>
      <c r="AB24" t="s">
        <v>88</v>
      </c>
      <c r="AD24">
        <v>27.99</v>
      </c>
      <c r="AE24">
        <v>3.58</v>
      </c>
      <c r="AF24" s="8">
        <f t="shared" si="0"/>
        <v>4</v>
      </c>
      <c r="AG24" s="8">
        <f t="shared" si="1"/>
        <v>5.99</v>
      </c>
      <c r="AH24" s="8">
        <f t="shared" si="2"/>
        <v>3.58</v>
      </c>
      <c r="AI24" cm="1">
        <f t="array" ref="AI24">IF(A24="","",IFERROR(INDEX(Listings!A:A,MATCH(TEXT(C24,"MM/DD/YYYY")&amp;G24&amp;U24,Listings!J$2:J$201,0)+1),""))</f>
        <v>39</v>
      </c>
    </row>
    <row r="25" spans="1:35" ht="15" customHeight="1" x14ac:dyDescent="0.35">
      <c r="A25" s="13">
        <v>46027</v>
      </c>
      <c r="B25" t="s">
        <v>583</v>
      </c>
      <c r="C25" s="13">
        <v>45992</v>
      </c>
      <c r="D25" t="s">
        <v>85</v>
      </c>
      <c r="F25" t="s">
        <v>584</v>
      </c>
      <c r="G25" t="s">
        <v>38</v>
      </c>
      <c r="H25" t="s">
        <v>585</v>
      </c>
      <c r="I25" t="s">
        <v>32</v>
      </c>
      <c r="J25">
        <v>12.6</v>
      </c>
      <c r="K25">
        <v>6.49</v>
      </c>
      <c r="L25">
        <v>20.350000000000001</v>
      </c>
      <c r="M25">
        <v>0</v>
      </c>
      <c r="N25">
        <v>0</v>
      </c>
      <c r="O25">
        <v>1</v>
      </c>
      <c r="P25">
        <v>1.26</v>
      </c>
      <c r="R25" t="s">
        <v>86</v>
      </c>
      <c r="S25" s="13">
        <v>46029</v>
      </c>
      <c r="T25" s="13">
        <v>46033</v>
      </c>
      <c r="U25" t="s">
        <v>25</v>
      </c>
      <c r="V25" t="s">
        <v>586</v>
      </c>
      <c r="W25" t="s">
        <v>587</v>
      </c>
      <c r="Y25" t="s">
        <v>588</v>
      </c>
      <c r="Z25" t="s">
        <v>110</v>
      </c>
      <c r="AA25" t="s">
        <v>589</v>
      </c>
      <c r="AB25" t="s">
        <v>88</v>
      </c>
      <c r="AC25">
        <v>0.69</v>
      </c>
      <c r="AF25" s="8">
        <f t="shared" si="0"/>
        <v>35</v>
      </c>
      <c r="AG25" s="8">
        <f t="shared" si="1"/>
        <v>6.49</v>
      </c>
      <c r="AH25" s="8">
        <f t="shared" si="2"/>
        <v>2.2599999999999998</v>
      </c>
      <c r="AI25" cm="1">
        <f t="array" ref="AI25">IF(A25="","",IFERROR(INDEX(Listings!A:A,MATCH(TEXT(C25,"MM/DD/YYYY")&amp;G25&amp;U25,Listings!J$2:J$201,0)+1),""))</f>
        <v>27</v>
      </c>
    </row>
    <row r="26" spans="1:35" ht="15" customHeight="1" x14ac:dyDescent="0.35">
      <c r="A26" s="13">
        <v>46028</v>
      </c>
      <c r="B26" t="s">
        <v>590</v>
      </c>
      <c r="C26" s="13">
        <v>46009</v>
      </c>
      <c r="D26" t="s">
        <v>85</v>
      </c>
      <c r="F26" t="s">
        <v>591</v>
      </c>
      <c r="G26" t="s">
        <v>33</v>
      </c>
      <c r="H26" t="s">
        <v>592</v>
      </c>
      <c r="I26" t="s">
        <v>30</v>
      </c>
      <c r="J26">
        <v>5.95</v>
      </c>
      <c r="K26">
        <v>3.99</v>
      </c>
      <c r="L26">
        <v>10.54</v>
      </c>
      <c r="M26">
        <v>0</v>
      </c>
      <c r="N26">
        <v>0</v>
      </c>
      <c r="O26">
        <v>0.47</v>
      </c>
      <c r="P26">
        <v>0.6</v>
      </c>
      <c r="R26" t="s">
        <v>86</v>
      </c>
      <c r="S26" s="13">
        <v>46030</v>
      </c>
      <c r="T26" s="13">
        <v>46032</v>
      </c>
      <c r="U26" t="s">
        <v>25</v>
      </c>
      <c r="V26" t="s">
        <v>593</v>
      </c>
      <c r="W26" t="s">
        <v>594</v>
      </c>
      <c r="Y26" t="s">
        <v>595</v>
      </c>
      <c r="Z26" t="s">
        <v>102</v>
      </c>
      <c r="AA26" t="s">
        <v>596</v>
      </c>
      <c r="AB26" t="s">
        <v>88</v>
      </c>
      <c r="AF26" s="8">
        <f t="shared" si="0"/>
        <v>19</v>
      </c>
      <c r="AG26" s="8">
        <f t="shared" si="1"/>
        <v>3.99</v>
      </c>
      <c r="AH26" s="8">
        <f t="shared" si="2"/>
        <v>1.0699999999999998</v>
      </c>
      <c r="AI26" cm="1">
        <f t="array" ref="AI26">IF(A26="","",IFERROR(INDEX(Listings!A:A,MATCH(TEXT(C26,"MM/DD/YYYY")&amp;G26&amp;U26,Listings!J$2:J$201,0)+1),""))</f>
        <v>29</v>
      </c>
    </row>
    <row r="27" spans="1:35" ht="15" customHeight="1" x14ac:dyDescent="0.35">
      <c r="A27" s="13">
        <v>46032</v>
      </c>
      <c r="B27" t="s">
        <v>597</v>
      </c>
      <c r="C27" s="13">
        <v>46031</v>
      </c>
      <c r="D27" t="s">
        <v>85</v>
      </c>
      <c r="F27" t="s">
        <v>598</v>
      </c>
      <c r="G27" t="s">
        <v>142</v>
      </c>
      <c r="H27" t="s">
        <v>599</v>
      </c>
      <c r="I27" t="s">
        <v>30</v>
      </c>
      <c r="J27">
        <v>18</v>
      </c>
      <c r="K27">
        <v>11.99</v>
      </c>
      <c r="L27">
        <v>31.79</v>
      </c>
      <c r="M27">
        <v>0</v>
      </c>
      <c r="N27">
        <v>0</v>
      </c>
      <c r="O27">
        <v>1.42</v>
      </c>
      <c r="P27">
        <v>1.8</v>
      </c>
      <c r="R27" t="s">
        <v>86</v>
      </c>
      <c r="S27" s="13">
        <v>46034</v>
      </c>
      <c r="T27" s="13">
        <v>46036</v>
      </c>
      <c r="U27" t="s">
        <v>25</v>
      </c>
      <c r="V27" t="s">
        <v>600</v>
      </c>
      <c r="W27" t="s">
        <v>601</v>
      </c>
      <c r="Y27" t="s">
        <v>602</v>
      </c>
      <c r="Z27" t="s">
        <v>105</v>
      </c>
      <c r="AA27" t="s">
        <v>603</v>
      </c>
      <c r="AB27" t="s">
        <v>88</v>
      </c>
      <c r="AC27">
        <v>0.73</v>
      </c>
      <c r="AF27" s="8">
        <f t="shared" si="0"/>
        <v>1</v>
      </c>
      <c r="AG27" s="8">
        <f t="shared" si="1"/>
        <v>11.99</v>
      </c>
      <c r="AH27" s="8">
        <f t="shared" si="2"/>
        <v>3.2199999999999998</v>
      </c>
      <c r="AI27" cm="1">
        <f t="array" ref="AI27">IF(A27="","",IFERROR(INDEX(Listings!A:A,MATCH(TEXT(C27,"MM/DD/YYYY")&amp;G27&amp;U27,Listings!J$2:J$201,0)+1),""))</f>
        <v>45</v>
      </c>
    </row>
    <row r="28" spans="1:35" ht="15" customHeight="1" x14ac:dyDescent="0.35">
      <c r="A28" s="13">
        <v>46037</v>
      </c>
      <c r="B28" t="s">
        <v>604</v>
      </c>
      <c r="C28" s="13">
        <v>46015</v>
      </c>
      <c r="D28" t="s">
        <v>85</v>
      </c>
      <c r="F28" t="s">
        <v>605</v>
      </c>
      <c r="G28" t="s">
        <v>151</v>
      </c>
      <c r="H28" t="s">
        <v>606</v>
      </c>
      <c r="I28" t="s">
        <v>23</v>
      </c>
      <c r="J28">
        <v>7.2</v>
      </c>
      <c r="K28">
        <v>7.99</v>
      </c>
      <c r="L28">
        <v>15.91</v>
      </c>
      <c r="M28">
        <v>0</v>
      </c>
      <c r="N28">
        <v>0</v>
      </c>
      <c r="O28">
        <v>0.56999999999999995</v>
      </c>
      <c r="P28">
        <v>0.72</v>
      </c>
      <c r="R28" t="s">
        <v>86</v>
      </c>
      <c r="S28" s="13">
        <v>46039</v>
      </c>
      <c r="T28" s="13">
        <v>46042</v>
      </c>
      <c r="U28" t="s">
        <v>111</v>
      </c>
      <c r="V28" t="s">
        <v>607</v>
      </c>
      <c r="W28" t="s">
        <v>608</v>
      </c>
      <c r="Y28" t="s">
        <v>609</v>
      </c>
      <c r="Z28" t="s">
        <v>97</v>
      </c>
      <c r="AA28" t="s">
        <v>610</v>
      </c>
      <c r="AB28" t="s">
        <v>88</v>
      </c>
      <c r="AC28">
        <v>0.69</v>
      </c>
      <c r="AF28" s="8">
        <f t="shared" si="0"/>
        <v>22</v>
      </c>
      <c r="AG28" s="8">
        <f t="shared" si="1"/>
        <v>7.99</v>
      </c>
      <c r="AH28" s="8">
        <f t="shared" si="2"/>
        <v>1.29</v>
      </c>
      <c r="AI28" cm="1">
        <f t="array" ref="AI28">IF(A28="","",IFERROR(INDEX(Listings!A:A,MATCH(TEXT(C28,"MM/DD/YYYY")&amp;G28&amp;U28,Listings!J$2:J$201,0)+1),""))</f>
        <v>34</v>
      </c>
    </row>
    <row r="29" spans="1:35" ht="15" customHeight="1" x14ac:dyDescent="0.35">
      <c r="A29" s="13">
        <v>46039</v>
      </c>
      <c r="B29" t="s">
        <v>611</v>
      </c>
      <c r="C29" s="13">
        <v>46030</v>
      </c>
      <c r="D29" t="s">
        <v>85</v>
      </c>
      <c r="F29" t="s">
        <v>612</v>
      </c>
      <c r="G29" t="s">
        <v>115</v>
      </c>
      <c r="H29" t="s">
        <v>613</v>
      </c>
      <c r="I29" t="s">
        <v>27</v>
      </c>
      <c r="J29">
        <v>23</v>
      </c>
      <c r="K29">
        <v>7.99</v>
      </c>
      <c r="L29">
        <v>33.29</v>
      </c>
      <c r="M29">
        <v>0</v>
      </c>
      <c r="N29">
        <v>0</v>
      </c>
      <c r="O29">
        <v>1.82</v>
      </c>
      <c r="P29">
        <v>2.2999999999999998</v>
      </c>
      <c r="R29" t="s">
        <v>86</v>
      </c>
      <c r="S29" s="13">
        <v>46041</v>
      </c>
      <c r="T29" s="13">
        <v>46044</v>
      </c>
      <c r="U29" t="s">
        <v>25</v>
      </c>
      <c r="V29" t="s">
        <v>614</v>
      </c>
      <c r="W29" t="s">
        <v>615</v>
      </c>
      <c r="Y29" t="s">
        <v>616</v>
      </c>
      <c r="Z29" t="s">
        <v>100</v>
      </c>
      <c r="AA29" t="s">
        <v>617</v>
      </c>
      <c r="AB29" t="s">
        <v>88</v>
      </c>
      <c r="AC29">
        <v>1.67</v>
      </c>
      <c r="AF29" s="8">
        <f t="shared" si="0"/>
        <v>9</v>
      </c>
      <c r="AG29" s="8">
        <f t="shared" si="1"/>
        <v>7.99</v>
      </c>
      <c r="AH29" s="8">
        <f t="shared" si="2"/>
        <v>4.12</v>
      </c>
      <c r="AI29" cm="1">
        <f t="array" ref="AI29">IF(A29="","",IFERROR(INDEX(Listings!A:A,MATCH(TEXT(C29,"MM/DD/YYYY")&amp;G29&amp;U29,Listings!J$2:J$201,0)+1),""))</f>
        <v>44</v>
      </c>
    </row>
    <row r="30" spans="1:35" ht="15" customHeight="1" x14ac:dyDescent="0.35">
      <c r="A30" s="13">
        <v>46041</v>
      </c>
      <c r="B30" t="s">
        <v>618</v>
      </c>
      <c r="C30" s="13">
        <v>46024</v>
      </c>
      <c r="D30" t="s">
        <v>85</v>
      </c>
      <c r="F30" t="s">
        <v>619</v>
      </c>
      <c r="G30" t="s">
        <v>29</v>
      </c>
      <c r="H30" t="s">
        <v>620</v>
      </c>
      <c r="I30" t="s">
        <v>30</v>
      </c>
      <c r="J30">
        <v>22</v>
      </c>
      <c r="K30">
        <v>5.99</v>
      </c>
      <c r="L30">
        <v>30.19</v>
      </c>
      <c r="M30">
        <v>0</v>
      </c>
      <c r="N30">
        <v>0</v>
      </c>
      <c r="O30">
        <v>1.74</v>
      </c>
      <c r="P30">
        <v>2.2000000000000002</v>
      </c>
      <c r="R30" t="s">
        <v>86</v>
      </c>
      <c r="S30" s="13">
        <v>46043</v>
      </c>
      <c r="T30" s="13">
        <v>46046</v>
      </c>
      <c r="U30" t="s">
        <v>28</v>
      </c>
      <c r="V30" t="s">
        <v>621</v>
      </c>
      <c r="W30" t="s">
        <v>622</v>
      </c>
      <c r="Y30" t="s">
        <v>623</v>
      </c>
      <c r="Z30" t="s">
        <v>97</v>
      </c>
      <c r="AA30" t="s">
        <v>624</v>
      </c>
      <c r="AB30" t="s">
        <v>88</v>
      </c>
      <c r="AC30">
        <v>1.17</v>
      </c>
      <c r="AF30" s="8">
        <f t="shared" si="0"/>
        <v>17</v>
      </c>
      <c r="AG30" s="8">
        <f t="shared" si="1"/>
        <v>5.99</v>
      </c>
      <c r="AH30" s="8">
        <f t="shared" si="2"/>
        <v>3.9400000000000004</v>
      </c>
      <c r="AI30" cm="1">
        <f t="array" ref="AI30">IF(A30="","",IFERROR(INDEX(Listings!A:A,MATCH(TEXT(C30,"MM/DD/YYYY")&amp;G30&amp;U30,Listings!J$2:J$201,0)+1),""))</f>
        <v>42</v>
      </c>
    </row>
    <row r="31" spans="1:35" ht="15" customHeight="1" x14ac:dyDescent="0.35">
      <c r="A31" s="13">
        <v>46045</v>
      </c>
      <c r="B31" t="s">
        <v>625</v>
      </c>
      <c r="C31" s="13">
        <v>46035</v>
      </c>
      <c r="D31" t="s">
        <v>85</v>
      </c>
      <c r="F31" t="s">
        <v>626</v>
      </c>
      <c r="G31" t="s">
        <v>142</v>
      </c>
      <c r="H31" t="s">
        <v>627</v>
      </c>
      <c r="I31" t="s">
        <v>30</v>
      </c>
      <c r="J31">
        <v>12.75</v>
      </c>
      <c r="K31">
        <v>3.99</v>
      </c>
      <c r="L31">
        <v>18.02</v>
      </c>
      <c r="M31">
        <v>0</v>
      </c>
      <c r="N31">
        <v>0</v>
      </c>
      <c r="O31">
        <v>1.01</v>
      </c>
      <c r="P31">
        <v>1.28</v>
      </c>
      <c r="R31" t="s">
        <v>86</v>
      </c>
      <c r="S31" s="13">
        <v>46047</v>
      </c>
      <c r="T31" s="13">
        <v>46050</v>
      </c>
      <c r="U31" t="s">
        <v>25</v>
      </c>
      <c r="V31" t="s">
        <v>628</v>
      </c>
      <c r="W31" t="s">
        <v>629</v>
      </c>
      <c r="Y31" t="s">
        <v>630</v>
      </c>
      <c r="Z31" t="s">
        <v>110</v>
      </c>
      <c r="AA31" t="s">
        <v>631</v>
      </c>
      <c r="AB31" t="s">
        <v>88</v>
      </c>
      <c r="AC31">
        <v>0.7</v>
      </c>
      <c r="AF31" s="8">
        <f t="shared" si="0"/>
        <v>10</v>
      </c>
      <c r="AG31" s="8">
        <f t="shared" si="1"/>
        <v>3.99</v>
      </c>
      <c r="AH31" s="8">
        <f t="shared" si="2"/>
        <v>2.29</v>
      </c>
      <c r="AI31" cm="1">
        <f t="array" ref="AI31">IF(A31="","",IFERROR(INDEX(Listings!A:A,MATCH(TEXT(C31,"MM/DD/YYYY")&amp;G31&amp;U31,Listings!J$2:J$201,0)+1),""))</f>
        <v>49</v>
      </c>
    </row>
    <row r="32" spans="1:35" ht="15" customHeight="1" x14ac:dyDescent="0.35">
      <c r="A32" s="13">
        <v>46046</v>
      </c>
      <c r="B32" t="s">
        <v>632</v>
      </c>
      <c r="C32" s="13">
        <v>46022</v>
      </c>
      <c r="D32" t="s">
        <v>94</v>
      </c>
      <c r="E32" t="s">
        <v>95</v>
      </c>
      <c r="F32" t="s">
        <v>633</v>
      </c>
      <c r="G32" t="s">
        <v>211</v>
      </c>
      <c r="H32" t="s">
        <v>634</v>
      </c>
      <c r="I32" t="s">
        <v>27</v>
      </c>
      <c r="J32">
        <v>18.75</v>
      </c>
      <c r="K32">
        <v>7.99</v>
      </c>
      <c r="L32">
        <v>51.39</v>
      </c>
      <c r="M32">
        <v>0</v>
      </c>
      <c r="N32">
        <v>0</v>
      </c>
      <c r="O32">
        <v>3.12</v>
      </c>
      <c r="P32">
        <v>3.95</v>
      </c>
      <c r="R32" t="s">
        <v>86</v>
      </c>
      <c r="S32" s="13">
        <v>46048</v>
      </c>
      <c r="T32" s="13">
        <v>46051</v>
      </c>
      <c r="U32" t="s">
        <v>28</v>
      </c>
      <c r="V32" t="s">
        <v>635</v>
      </c>
      <c r="W32" t="s">
        <v>636</v>
      </c>
      <c r="Y32" t="s">
        <v>637</v>
      </c>
      <c r="Z32" t="s">
        <v>107</v>
      </c>
      <c r="AA32" t="s">
        <v>638</v>
      </c>
      <c r="AB32" t="s">
        <v>88</v>
      </c>
      <c r="AF32" s="8">
        <f t="shared" si="0"/>
        <v>24</v>
      </c>
      <c r="AG32" s="8">
        <f t="shared" si="1"/>
        <v>3.9950000000000001</v>
      </c>
      <c r="AH32" s="8">
        <f t="shared" si="2"/>
        <v>7.07</v>
      </c>
      <c r="AI32" cm="1">
        <f t="array" ref="AI32">IF(A32="","",IFERROR(INDEX(Listings!A:A,MATCH(TEXT(C32,"MM/DD/YYYY")&amp;G32&amp;U32,Listings!J$2:J$201,0)+1),""))</f>
        <v>40</v>
      </c>
    </row>
    <row r="33" spans="1:35" ht="15" customHeight="1" x14ac:dyDescent="0.35">
      <c r="A33" s="13">
        <v>46046</v>
      </c>
      <c r="B33" t="s">
        <v>632</v>
      </c>
      <c r="C33" s="13">
        <v>46023</v>
      </c>
      <c r="D33" t="s">
        <v>94</v>
      </c>
      <c r="F33" t="s">
        <v>633</v>
      </c>
      <c r="G33" t="s">
        <v>167</v>
      </c>
      <c r="H33" t="s">
        <v>639</v>
      </c>
      <c r="I33" t="s">
        <v>32</v>
      </c>
      <c r="J33">
        <v>20.7</v>
      </c>
      <c r="N33">
        <v>0</v>
      </c>
      <c r="R33" t="s">
        <v>86</v>
      </c>
      <c r="S33" s="13">
        <v>46048</v>
      </c>
      <c r="T33" s="13">
        <v>46051</v>
      </c>
      <c r="U33" t="s">
        <v>25</v>
      </c>
      <c r="V33" t="s">
        <v>635</v>
      </c>
      <c r="W33" t="s">
        <v>636</v>
      </c>
      <c r="Y33" t="s">
        <v>637</v>
      </c>
      <c r="Z33" t="s">
        <v>107</v>
      </c>
      <c r="AA33" t="s">
        <v>638</v>
      </c>
      <c r="AB33" t="s">
        <v>88</v>
      </c>
      <c r="AF33" s="8">
        <f t="shared" si="0"/>
        <v>23</v>
      </c>
      <c r="AG33" s="8">
        <f t="shared" si="1"/>
        <v>0</v>
      </c>
      <c r="AH33" s="8">
        <f t="shared" si="2"/>
        <v>0</v>
      </c>
      <c r="AI33" cm="1">
        <f t="array" ref="AI33">IF(A33="","",IFERROR(INDEX(Listings!A:A,MATCH(TEXT(C33,"MM/DD/YYYY")&amp;G33&amp;U33,Listings!J$2:J$201,0)+1),""))</f>
        <v>41</v>
      </c>
    </row>
    <row r="34" spans="1:35" ht="15" customHeight="1" x14ac:dyDescent="0.35">
      <c r="A34" s="13">
        <v>46046</v>
      </c>
      <c r="B34" t="s">
        <v>640</v>
      </c>
      <c r="C34" s="13">
        <v>46032</v>
      </c>
      <c r="D34" t="s">
        <v>94</v>
      </c>
      <c r="E34" t="s">
        <v>95</v>
      </c>
      <c r="F34" t="s">
        <v>641</v>
      </c>
      <c r="G34" t="s">
        <v>98</v>
      </c>
      <c r="H34" t="s">
        <v>642</v>
      </c>
      <c r="I34" t="s">
        <v>23</v>
      </c>
      <c r="J34">
        <v>29</v>
      </c>
      <c r="K34">
        <v>6.49</v>
      </c>
      <c r="L34">
        <v>52.69</v>
      </c>
      <c r="M34">
        <v>0</v>
      </c>
      <c r="N34">
        <v>0</v>
      </c>
      <c r="O34">
        <v>3.32</v>
      </c>
      <c r="P34">
        <v>4.2</v>
      </c>
      <c r="R34" t="s">
        <v>86</v>
      </c>
      <c r="S34" s="13">
        <v>46048</v>
      </c>
      <c r="T34" s="13">
        <v>46050</v>
      </c>
      <c r="U34" t="s">
        <v>28</v>
      </c>
      <c r="V34" t="s">
        <v>643</v>
      </c>
      <c r="W34" t="s">
        <v>644</v>
      </c>
      <c r="Y34" t="s">
        <v>645</v>
      </c>
      <c r="Z34" t="s">
        <v>108</v>
      </c>
      <c r="AA34" t="s">
        <v>646</v>
      </c>
      <c r="AB34" t="s">
        <v>88</v>
      </c>
      <c r="AC34">
        <v>1.64</v>
      </c>
      <c r="AF34" s="8">
        <f t="shared" ref="AF34:AF65" si="3">IF(OR(A34="",C34=""),"",A34-C34)</f>
        <v>14</v>
      </c>
      <c r="AG34" s="8">
        <f t="shared" ref="AG34:AG65" si="4">IF(A34="","",IF(D34="No",IFERROR(K34*1,0),IF(D34="Yes",IFERROR(K34/E34,0),"")))</f>
        <v>3.2450000000000001</v>
      </c>
      <c r="AH34" s="8">
        <f t="shared" ref="AH34:AH65" si="5">IF(A34="","",IFERROR(N34*1,0)+IFERROR(O34*1,0)+IFERROR(P34*1,0)+IFERROR(Q34*1,0))</f>
        <v>7.52</v>
      </c>
      <c r="AI34" cm="1">
        <f t="array" ref="AI34">IF(A34="","",IFERROR(INDEX(Listings!A:A,MATCH(TEXT(C34,"MM/DD/YYYY")&amp;G34&amp;U34,Listings!J$2:J$201,0)+1),""))</f>
        <v>47</v>
      </c>
    </row>
    <row r="35" spans="1:35" ht="15" customHeight="1" x14ac:dyDescent="0.35">
      <c r="A35" s="13">
        <v>46046</v>
      </c>
      <c r="B35" t="s">
        <v>640</v>
      </c>
      <c r="C35" s="13">
        <v>46033</v>
      </c>
      <c r="D35" t="s">
        <v>94</v>
      </c>
      <c r="F35" t="s">
        <v>641</v>
      </c>
      <c r="G35" t="s">
        <v>101</v>
      </c>
      <c r="H35" t="s">
        <v>647</v>
      </c>
      <c r="I35" t="s">
        <v>23</v>
      </c>
      <c r="J35">
        <v>13</v>
      </c>
      <c r="N35">
        <v>0</v>
      </c>
      <c r="R35" t="s">
        <v>86</v>
      </c>
      <c r="S35" s="13">
        <v>46048</v>
      </c>
      <c r="T35" s="13">
        <v>46050</v>
      </c>
      <c r="U35" t="s">
        <v>111</v>
      </c>
      <c r="V35" t="s">
        <v>643</v>
      </c>
      <c r="W35" t="s">
        <v>644</v>
      </c>
      <c r="Y35" t="s">
        <v>645</v>
      </c>
      <c r="Z35" t="s">
        <v>108</v>
      </c>
      <c r="AA35" t="s">
        <v>646</v>
      </c>
      <c r="AB35" t="s">
        <v>88</v>
      </c>
      <c r="AF35" s="8">
        <f t="shared" si="3"/>
        <v>13</v>
      </c>
      <c r="AG35" s="8">
        <f t="shared" si="4"/>
        <v>0</v>
      </c>
      <c r="AH35" s="8">
        <f t="shared" si="5"/>
        <v>0</v>
      </c>
      <c r="AI35" cm="1">
        <f t="array" ref="AI35">IF(A35="","",IFERROR(INDEX(Listings!A:A,MATCH(TEXT(C35,"MM/DD/YYYY")&amp;G35&amp;U35,Listings!J$2:J$201,0)+1),""))</f>
        <v>48</v>
      </c>
    </row>
    <row r="36" spans="1:35" ht="15" customHeight="1" x14ac:dyDescent="0.35">
      <c r="A36" s="13">
        <v>46046</v>
      </c>
      <c r="B36" t="s">
        <v>648</v>
      </c>
      <c r="C36" s="13">
        <v>46044</v>
      </c>
      <c r="D36" t="s">
        <v>85</v>
      </c>
      <c r="F36" t="s">
        <v>649</v>
      </c>
      <c r="G36" t="s">
        <v>34</v>
      </c>
      <c r="H36" t="s">
        <v>650</v>
      </c>
      <c r="I36" t="s">
        <v>30</v>
      </c>
      <c r="J36">
        <v>19</v>
      </c>
      <c r="K36">
        <v>3.99</v>
      </c>
      <c r="L36">
        <v>24.89</v>
      </c>
      <c r="M36">
        <v>0</v>
      </c>
      <c r="N36">
        <v>0</v>
      </c>
      <c r="O36">
        <v>1.5</v>
      </c>
      <c r="P36">
        <v>1.9</v>
      </c>
      <c r="R36" t="s">
        <v>86</v>
      </c>
      <c r="S36" s="13">
        <v>46048</v>
      </c>
      <c r="T36" s="13">
        <v>46052</v>
      </c>
      <c r="U36" t="s">
        <v>40</v>
      </c>
      <c r="V36" t="s">
        <v>651</v>
      </c>
      <c r="W36" t="s">
        <v>652</v>
      </c>
      <c r="Y36" t="s">
        <v>653</v>
      </c>
      <c r="Z36" t="s">
        <v>108</v>
      </c>
      <c r="AA36" t="s">
        <v>654</v>
      </c>
      <c r="AB36" t="s">
        <v>88</v>
      </c>
      <c r="AC36">
        <v>0.85</v>
      </c>
      <c r="AF36" s="8">
        <f t="shared" si="3"/>
        <v>2</v>
      </c>
      <c r="AG36" s="8">
        <f t="shared" si="4"/>
        <v>3.99</v>
      </c>
      <c r="AH36" s="8">
        <f t="shared" si="5"/>
        <v>3.4</v>
      </c>
      <c r="AI36" cm="1">
        <f t="array" ref="AI36">IF(A36="","",IFERROR(INDEX(Listings!A:A,MATCH(TEXT(C36,"MM/DD/YYYY")&amp;G36&amp;U36,Listings!J$2:J$201,0)+1),""))</f>
        <v>51</v>
      </c>
    </row>
    <row r="37" spans="1:35" ht="15" customHeight="1" x14ac:dyDescent="0.35">
      <c r="A37" s="13">
        <v>46050</v>
      </c>
      <c r="B37" t="s">
        <v>655</v>
      </c>
      <c r="C37" s="13">
        <v>46046</v>
      </c>
      <c r="D37" t="s">
        <v>85</v>
      </c>
      <c r="F37" t="s">
        <v>656</v>
      </c>
      <c r="G37" t="s">
        <v>156</v>
      </c>
      <c r="H37" t="s">
        <v>657</v>
      </c>
      <c r="I37" t="s">
        <v>30</v>
      </c>
      <c r="J37">
        <v>24</v>
      </c>
      <c r="K37">
        <v>3.99</v>
      </c>
      <c r="L37">
        <v>30.39</v>
      </c>
      <c r="M37">
        <v>0</v>
      </c>
      <c r="N37">
        <v>0</v>
      </c>
      <c r="O37">
        <v>1.9</v>
      </c>
      <c r="P37">
        <v>2.4</v>
      </c>
      <c r="R37" t="s">
        <v>86</v>
      </c>
      <c r="S37" s="13">
        <v>46052</v>
      </c>
      <c r="T37" s="13">
        <v>46056</v>
      </c>
      <c r="U37" t="s">
        <v>40</v>
      </c>
      <c r="V37" t="s">
        <v>658</v>
      </c>
      <c r="W37" t="s">
        <v>659</v>
      </c>
      <c r="Y37" t="s">
        <v>660</v>
      </c>
      <c r="Z37" t="s">
        <v>462</v>
      </c>
      <c r="AA37" t="s">
        <v>661</v>
      </c>
      <c r="AB37" t="s">
        <v>88</v>
      </c>
      <c r="AF37" s="8">
        <f t="shared" si="3"/>
        <v>4</v>
      </c>
      <c r="AG37" s="8">
        <f t="shared" si="4"/>
        <v>3.99</v>
      </c>
      <c r="AH37" s="8">
        <f t="shared" si="5"/>
        <v>4.3</v>
      </c>
      <c r="AI37" cm="1">
        <f t="array" ref="AI37">IF(A37="","",IFERROR(INDEX(Listings!A:A,MATCH(TEXT(C37,"MM/DD/YYYY")&amp;G37&amp;U37,Listings!J$2:J$201,0)+1),""))</f>
        <v>53</v>
      </c>
    </row>
    <row r="38" spans="1:35" ht="15" customHeight="1" x14ac:dyDescent="0.35">
      <c r="A38" s="13">
        <v>46051</v>
      </c>
      <c r="B38" t="s">
        <v>662</v>
      </c>
      <c r="C38" s="13">
        <v>46026</v>
      </c>
      <c r="D38" t="s">
        <v>85</v>
      </c>
      <c r="F38" t="s">
        <v>663</v>
      </c>
      <c r="G38" t="s">
        <v>98</v>
      </c>
      <c r="H38" t="s">
        <v>664</v>
      </c>
      <c r="I38" t="s">
        <v>32</v>
      </c>
      <c r="J38">
        <v>18</v>
      </c>
      <c r="K38">
        <v>5.99</v>
      </c>
      <c r="L38">
        <v>25.79</v>
      </c>
      <c r="M38">
        <v>0</v>
      </c>
      <c r="N38">
        <v>0</v>
      </c>
      <c r="O38">
        <v>1.42</v>
      </c>
      <c r="P38">
        <v>1.8</v>
      </c>
      <c r="R38" t="s">
        <v>86</v>
      </c>
      <c r="S38" s="13">
        <v>46053</v>
      </c>
      <c r="T38" s="13">
        <v>46055</v>
      </c>
      <c r="U38" t="s">
        <v>28</v>
      </c>
      <c r="V38" t="s">
        <v>665</v>
      </c>
      <c r="W38" t="s">
        <v>666</v>
      </c>
      <c r="Y38" t="s">
        <v>667</v>
      </c>
      <c r="Z38" t="s">
        <v>110</v>
      </c>
      <c r="AA38" t="s">
        <v>668</v>
      </c>
      <c r="AB38" t="s">
        <v>88</v>
      </c>
      <c r="AC38">
        <v>0.99</v>
      </c>
      <c r="AF38" s="8">
        <f t="shared" si="3"/>
        <v>25</v>
      </c>
      <c r="AG38" s="8">
        <f t="shared" si="4"/>
        <v>5.99</v>
      </c>
      <c r="AH38" s="8">
        <f t="shared" si="5"/>
        <v>3.2199999999999998</v>
      </c>
      <c r="AI38" cm="1">
        <f t="array" ref="AI38">IF(A38="","",IFERROR(INDEX(Listings!A:A,MATCH(TEXT(C38,"MM/DD/YYYY")&amp;G38&amp;U38,Listings!J$2:J$201,0)+1),""))</f>
        <v>43</v>
      </c>
    </row>
    <row r="39" spans="1:35" ht="15" customHeight="1" x14ac:dyDescent="0.35">
      <c r="A39" s="13">
        <v>46053</v>
      </c>
      <c r="B39" t="s">
        <v>669</v>
      </c>
      <c r="C39" s="13">
        <v>46052</v>
      </c>
      <c r="D39" t="s">
        <v>85</v>
      </c>
      <c r="F39" t="s">
        <v>670</v>
      </c>
      <c r="G39" t="s">
        <v>90</v>
      </c>
      <c r="H39" t="s">
        <v>671</v>
      </c>
      <c r="I39" t="s">
        <v>30</v>
      </c>
      <c r="J39">
        <v>6</v>
      </c>
      <c r="K39">
        <v>11.99</v>
      </c>
      <c r="L39">
        <v>18.59</v>
      </c>
      <c r="M39">
        <v>0</v>
      </c>
      <c r="N39">
        <v>0</v>
      </c>
      <c r="O39">
        <v>0.47</v>
      </c>
      <c r="P39">
        <v>0.6</v>
      </c>
      <c r="R39" t="s">
        <v>86</v>
      </c>
      <c r="S39" s="13">
        <v>46055</v>
      </c>
      <c r="T39" s="13">
        <v>46058</v>
      </c>
      <c r="U39" t="s">
        <v>116</v>
      </c>
      <c r="V39" t="s">
        <v>672</v>
      </c>
      <c r="W39" t="s">
        <v>673</v>
      </c>
      <c r="Y39" t="s">
        <v>674</v>
      </c>
      <c r="Z39" t="s">
        <v>462</v>
      </c>
      <c r="AA39" t="s">
        <v>675</v>
      </c>
      <c r="AB39" t="s">
        <v>88</v>
      </c>
      <c r="AF39" s="8">
        <f t="shared" si="3"/>
        <v>1</v>
      </c>
      <c r="AG39" s="8">
        <f t="shared" si="4"/>
        <v>11.99</v>
      </c>
      <c r="AH39" s="8">
        <f t="shared" si="5"/>
        <v>1.0699999999999998</v>
      </c>
      <c r="AI39" cm="1">
        <f t="array" ref="AI39">IF(A39="","",IFERROR(INDEX(Listings!A:A,MATCH(TEXT(C39,"MM/DD/YYYY")&amp;G39&amp;U39,Listings!J$2:J$201,0)+1),""))</f>
        <v>57</v>
      </c>
    </row>
    <row r="40" spans="1:35" ht="15" customHeight="1" x14ac:dyDescent="0.35">
      <c r="A40" s="13">
        <v>46076</v>
      </c>
      <c r="B40" t="s">
        <v>676</v>
      </c>
      <c r="C40" s="13">
        <v>46062</v>
      </c>
      <c r="D40" t="s">
        <v>85</v>
      </c>
      <c r="F40" t="s">
        <v>677</v>
      </c>
      <c r="G40" t="s">
        <v>45</v>
      </c>
      <c r="H40" t="s">
        <v>678</v>
      </c>
      <c r="I40" t="s">
        <v>27</v>
      </c>
      <c r="J40">
        <v>19</v>
      </c>
      <c r="K40">
        <v>4.99</v>
      </c>
      <c r="L40">
        <v>25.89</v>
      </c>
      <c r="M40">
        <v>0</v>
      </c>
      <c r="N40">
        <v>0</v>
      </c>
      <c r="O40">
        <v>1.5</v>
      </c>
      <c r="P40">
        <v>1.9</v>
      </c>
      <c r="R40" t="s">
        <v>86</v>
      </c>
      <c r="S40" s="13">
        <v>46078</v>
      </c>
      <c r="T40" s="13">
        <v>46082</v>
      </c>
      <c r="U40" t="s">
        <v>25</v>
      </c>
      <c r="V40" t="s">
        <v>679</v>
      </c>
      <c r="W40" t="s">
        <v>680</v>
      </c>
      <c r="Y40" t="s">
        <v>681</v>
      </c>
      <c r="Z40" t="s">
        <v>105</v>
      </c>
      <c r="AA40" t="s">
        <v>682</v>
      </c>
      <c r="AB40" t="s">
        <v>88</v>
      </c>
      <c r="AF40" s="8">
        <f t="shared" si="3"/>
        <v>14</v>
      </c>
      <c r="AG40" s="8">
        <f t="shared" si="4"/>
        <v>4.99</v>
      </c>
      <c r="AH40" s="8">
        <f t="shared" si="5"/>
        <v>3.4</v>
      </c>
      <c r="AI40" cm="1">
        <f t="array" ref="AI40">IF(A40="","",IFERROR(INDEX(Listings!A:A,MATCH(TEXT(C40,"MM/DD/YYYY")&amp;G40&amp;U40,Listings!J$2:J$201,0)+1),""))</f>
        <v>64</v>
      </c>
    </row>
    <row r="41" spans="1:35" ht="15" customHeight="1" x14ac:dyDescent="0.35">
      <c r="A41" s="13">
        <v>46077</v>
      </c>
      <c r="B41" t="s">
        <v>683</v>
      </c>
      <c r="C41" s="13">
        <v>46070</v>
      </c>
      <c r="D41" t="s">
        <v>85</v>
      </c>
      <c r="F41" t="s">
        <v>684</v>
      </c>
      <c r="G41" t="s">
        <v>101</v>
      </c>
      <c r="H41" t="s">
        <v>685</v>
      </c>
      <c r="I41" t="s">
        <v>30</v>
      </c>
      <c r="J41">
        <v>6.75</v>
      </c>
      <c r="K41">
        <v>6.49</v>
      </c>
      <c r="L41">
        <v>13.92</v>
      </c>
      <c r="M41">
        <v>0</v>
      </c>
      <c r="N41">
        <v>0</v>
      </c>
      <c r="O41">
        <v>0.53</v>
      </c>
      <c r="P41">
        <v>0.68</v>
      </c>
      <c r="R41" t="s">
        <v>86</v>
      </c>
      <c r="S41" s="13">
        <v>46079</v>
      </c>
      <c r="T41" s="13">
        <v>46082</v>
      </c>
      <c r="U41" t="s">
        <v>28</v>
      </c>
      <c r="V41" t="s">
        <v>686</v>
      </c>
      <c r="W41" t="s">
        <v>687</v>
      </c>
      <c r="Y41" t="s">
        <v>688</v>
      </c>
      <c r="Z41" t="s">
        <v>107</v>
      </c>
      <c r="AA41" t="s">
        <v>689</v>
      </c>
      <c r="AB41" t="s">
        <v>88</v>
      </c>
      <c r="AF41" s="8">
        <f t="shared" si="3"/>
        <v>7</v>
      </c>
      <c r="AG41" s="8">
        <f t="shared" si="4"/>
        <v>6.49</v>
      </c>
      <c r="AH41" s="8">
        <f t="shared" si="5"/>
        <v>1.21</v>
      </c>
      <c r="AI41" cm="1">
        <f t="array" ref="AI41">IF(A41="","",IFERROR(INDEX(Listings!A:A,MATCH(TEXT(C41,"MM/DD/YYYY")&amp;G41&amp;U41,Listings!J$2:J$201,0)+1),""))</f>
        <v>66</v>
      </c>
    </row>
    <row r="42" spans="1:35" ht="15" customHeight="1" x14ac:dyDescent="0.35">
      <c r="A42" s="13">
        <v>46079</v>
      </c>
      <c r="B42" t="s">
        <v>690</v>
      </c>
      <c r="C42" s="13">
        <v>46056</v>
      </c>
      <c r="D42" t="s">
        <v>85</v>
      </c>
      <c r="F42" t="s">
        <v>691</v>
      </c>
      <c r="G42" t="s">
        <v>167</v>
      </c>
      <c r="H42" t="s">
        <v>692</v>
      </c>
      <c r="I42" t="s">
        <v>27</v>
      </c>
      <c r="J42">
        <v>32.299999999999997</v>
      </c>
      <c r="K42">
        <v>4.99</v>
      </c>
      <c r="L42">
        <v>40.520000000000003</v>
      </c>
      <c r="M42">
        <v>0</v>
      </c>
      <c r="N42">
        <v>0</v>
      </c>
      <c r="O42">
        <v>2.5499999999999998</v>
      </c>
      <c r="P42">
        <v>3.23</v>
      </c>
      <c r="R42" t="s">
        <v>86</v>
      </c>
      <c r="S42" s="13">
        <v>46081</v>
      </c>
      <c r="T42" s="13">
        <v>46085</v>
      </c>
      <c r="U42" t="s">
        <v>40</v>
      </c>
      <c r="V42" t="s">
        <v>693</v>
      </c>
      <c r="W42" t="s">
        <v>694</v>
      </c>
      <c r="Y42" t="s">
        <v>695</v>
      </c>
      <c r="Z42" t="s">
        <v>440</v>
      </c>
      <c r="AA42" t="s">
        <v>696</v>
      </c>
      <c r="AB42" t="s">
        <v>88</v>
      </c>
      <c r="AF42" s="8">
        <f t="shared" si="3"/>
        <v>23</v>
      </c>
      <c r="AG42" s="8">
        <f t="shared" si="4"/>
        <v>4.99</v>
      </c>
      <c r="AH42" s="8">
        <f t="shared" si="5"/>
        <v>5.7799999999999994</v>
      </c>
      <c r="AI42" cm="1">
        <f t="array" ref="AI42">IF(A42="","",IFERROR(INDEX(Listings!A:A,MATCH(TEXT(C42,"MM/DD/YYYY")&amp;G42&amp;U42,Listings!J$2:J$201,0)+1),""))</f>
        <v>59</v>
      </c>
    </row>
    <row r="43" spans="1:35" ht="15" customHeight="1" x14ac:dyDescent="0.35">
      <c r="A43" s="13">
        <v>46079</v>
      </c>
      <c r="B43" t="s">
        <v>697</v>
      </c>
      <c r="C43" s="13">
        <v>46059</v>
      </c>
      <c r="D43" t="s">
        <v>94</v>
      </c>
      <c r="E43" t="s">
        <v>95</v>
      </c>
      <c r="F43" t="s">
        <v>698</v>
      </c>
      <c r="G43" t="s">
        <v>115</v>
      </c>
      <c r="H43" t="s">
        <v>699</v>
      </c>
      <c r="I43" t="s">
        <v>23</v>
      </c>
      <c r="J43">
        <v>16.149999999999999</v>
      </c>
      <c r="K43">
        <v>7.99</v>
      </c>
      <c r="L43">
        <v>40.6</v>
      </c>
      <c r="M43">
        <v>0</v>
      </c>
      <c r="N43">
        <v>0</v>
      </c>
      <c r="O43">
        <v>2.35</v>
      </c>
      <c r="P43">
        <v>2.96</v>
      </c>
      <c r="R43" t="s">
        <v>86</v>
      </c>
      <c r="S43" s="13">
        <v>46081</v>
      </c>
      <c r="T43" s="13">
        <v>46084</v>
      </c>
      <c r="U43" t="s">
        <v>40</v>
      </c>
      <c r="V43" t="s">
        <v>700</v>
      </c>
      <c r="W43" t="s">
        <v>701</v>
      </c>
      <c r="Y43" t="s">
        <v>702</v>
      </c>
      <c r="Z43" t="s">
        <v>107</v>
      </c>
      <c r="AA43" t="s">
        <v>703</v>
      </c>
      <c r="AB43" t="s">
        <v>88</v>
      </c>
      <c r="AC43">
        <v>1.26</v>
      </c>
      <c r="AF43" s="8">
        <f t="shared" si="3"/>
        <v>20</v>
      </c>
      <c r="AG43" s="8">
        <f t="shared" si="4"/>
        <v>3.9950000000000001</v>
      </c>
      <c r="AH43" s="8">
        <f t="shared" si="5"/>
        <v>5.3100000000000005</v>
      </c>
      <c r="AI43" cm="1">
        <f t="array" ref="AI43">IF(A43="","",IFERROR(INDEX(Listings!A:A,MATCH(TEXT(C43,"MM/DD/YYYY")&amp;G43&amp;U43,Listings!J$2:J$201,0)+1),""))</f>
        <v>61</v>
      </c>
    </row>
    <row r="44" spans="1:35" ht="15" customHeight="1" x14ac:dyDescent="0.35">
      <c r="A44" s="13">
        <v>46079</v>
      </c>
      <c r="B44" t="s">
        <v>697</v>
      </c>
      <c r="C44" s="13">
        <v>46061</v>
      </c>
      <c r="D44" t="s">
        <v>94</v>
      </c>
      <c r="F44" t="s">
        <v>698</v>
      </c>
      <c r="G44" t="s">
        <v>133</v>
      </c>
      <c r="H44" t="s">
        <v>704</v>
      </c>
      <c r="I44" t="s">
        <v>42</v>
      </c>
      <c r="J44">
        <v>13.5</v>
      </c>
      <c r="N44">
        <v>0</v>
      </c>
      <c r="R44" t="s">
        <v>86</v>
      </c>
      <c r="S44" s="13">
        <v>46081</v>
      </c>
      <c r="T44" s="13">
        <v>46084</v>
      </c>
      <c r="U44" t="s">
        <v>28</v>
      </c>
      <c r="V44" t="s">
        <v>700</v>
      </c>
      <c r="W44" t="s">
        <v>701</v>
      </c>
      <c r="Y44" t="s">
        <v>702</v>
      </c>
      <c r="Z44" t="s">
        <v>107</v>
      </c>
      <c r="AA44" t="s">
        <v>703</v>
      </c>
      <c r="AB44" t="s">
        <v>88</v>
      </c>
      <c r="AF44" s="8">
        <f t="shared" si="3"/>
        <v>18</v>
      </c>
      <c r="AG44" s="8">
        <f t="shared" si="4"/>
        <v>0</v>
      </c>
      <c r="AH44" s="8">
        <f t="shared" si="5"/>
        <v>0</v>
      </c>
      <c r="AI44" cm="1">
        <f t="array" ref="AI44">IF(A44="","",IFERROR(INDEX(Listings!A:A,MATCH(TEXT(C44,"MM/DD/YYYY")&amp;G44&amp;U44,Listings!J$2:J$201,0)+1),""))</f>
        <v>63</v>
      </c>
    </row>
    <row r="45" spans="1:35" ht="15" customHeight="1" x14ac:dyDescent="0.35">
      <c r="A45" s="13">
        <v>46079</v>
      </c>
      <c r="B45" t="s">
        <v>705</v>
      </c>
      <c r="C45" s="13">
        <v>46070</v>
      </c>
      <c r="D45" t="s">
        <v>85</v>
      </c>
      <c r="F45" t="s">
        <v>706</v>
      </c>
      <c r="G45" t="s">
        <v>151</v>
      </c>
      <c r="H45" t="s">
        <v>707</v>
      </c>
      <c r="I45" t="s">
        <v>27</v>
      </c>
      <c r="J45">
        <v>39</v>
      </c>
      <c r="K45">
        <v>3.99</v>
      </c>
      <c r="L45">
        <v>46.89</v>
      </c>
      <c r="M45">
        <v>0</v>
      </c>
      <c r="N45">
        <v>0</v>
      </c>
      <c r="O45">
        <v>3.08</v>
      </c>
      <c r="P45">
        <v>3.9</v>
      </c>
      <c r="R45" t="s">
        <v>86</v>
      </c>
      <c r="S45" s="13">
        <v>46081</v>
      </c>
      <c r="T45" s="13">
        <v>46084</v>
      </c>
      <c r="U45" t="s">
        <v>40</v>
      </c>
      <c r="V45" t="s">
        <v>708</v>
      </c>
      <c r="W45" t="s">
        <v>709</v>
      </c>
      <c r="Y45" t="s">
        <v>710</v>
      </c>
      <c r="Z45" t="s">
        <v>104</v>
      </c>
      <c r="AA45" t="s">
        <v>711</v>
      </c>
      <c r="AB45" t="s">
        <v>88</v>
      </c>
      <c r="AF45" s="8">
        <f t="shared" si="3"/>
        <v>9</v>
      </c>
      <c r="AG45" s="8">
        <f t="shared" si="4"/>
        <v>3.99</v>
      </c>
      <c r="AH45" s="8">
        <f t="shared" si="5"/>
        <v>6.98</v>
      </c>
      <c r="AI45" cm="1">
        <f t="array" ref="AI45">IF(A45="","",IFERROR(INDEX(Listings!A:A,MATCH(TEXT(C45,"MM/DD/YYYY")&amp;G45&amp;U45,Listings!J$2:J$201,0)+1),""))</f>
        <v>65</v>
      </c>
    </row>
    <row r="46" spans="1:35" ht="15" customHeight="1" x14ac:dyDescent="0.35">
      <c r="A46" s="13">
        <v>46083</v>
      </c>
      <c r="B46" t="s">
        <v>712</v>
      </c>
      <c r="C46" s="13">
        <v>46080</v>
      </c>
      <c r="D46" t="s">
        <v>85</v>
      </c>
      <c r="F46" t="s">
        <v>713</v>
      </c>
      <c r="G46" t="s">
        <v>41</v>
      </c>
      <c r="H46" t="s">
        <v>714</v>
      </c>
      <c r="I46" t="s">
        <v>42</v>
      </c>
      <c r="J46">
        <v>33</v>
      </c>
      <c r="K46">
        <v>7.99</v>
      </c>
      <c r="L46">
        <v>44.29</v>
      </c>
      <c r="M46">
        <v>0</v>
      </c>
      <c r="N46">
        <v>0</v>
      </c>
      <c r="O46">
        <v>2.61</v>
      </c>
      <c r="P46">
        <v>3.3</v>
      </c>
      <c r="R46" t="s">
        <v>86</v>
      </c>
      <c r="S46" s="13">
        <v>46085</v>
      </c>
      <c r="T46" s="13">
        <v>46088</v>
      </c>
      <c r="U46" t="s">
        <v>40</v>
      </c>
      <c r="V46" t="s">
        <v>715</v>
      </c>
      <c r="W46" t="s">
        <v>716</v>
      </c>
      <c r="Y46" t="s">
        <v>717</v>
      </c>
      <c r="Z46" t="s">
        <v>91</v>
      </c>
      <c r="AA46" t="s">
        <v>718</v>
      </c>
      <c r="AB46" t="s">
        <v>88</v>
      </c>
      <c r="AC46">
        <v>2.19</v>
      </c>
      <c r="AF46" s="8">
        <f t="shared" si="3"/>
        <v>3</v>
      </c>
      <c r="AG46" s="8">
        <f t="shared" si="4"/>
        <v>7.99</v>
      </c>
      <c r="AH46" s="8">
        <f t="shared" si="5"/>
        <v>5.91</v>
      </c>
      <c r="AI46" cm="1">
        <f t="array" ref="AI46">IF(A46="","",IFERROR(INDEX(Listings!A:A,MATCH(TEXT(C46,"MM/DD/YYYY")&amp;G46&amp;U46,Listings!J$2:J$201,0)+1),""))</f>
        <v>71</v>
      </c>
    </row>
    <row r="47" spans="1:35" ht="15" customHeight="1" x14ac:dyDescent="0.35">
      <c r="A47" s="13">
        <v>46084</v>
      </c>
      <c r="B47" t="s">
        <v>719</v>
      </c>
      <c r="C47" s="13">
        <v>46077</v>
      </c>
      <c r="D47" t="s">
        <v>85</v>
      </c>
      <c r="F47" t="s">
        <v>720</v>
      </c>
      <c r="G47" t="s">
        <v>129</v>
      </c>
      <c r="H47" t="s">
        <v>721</v>
      </c>
      <c r="I47" t="s">
        <v>32</v>
      </c>
      <c r="J47">
        <v>15.75</v>
      </c>
      <c r="K47">
        <v>4.99</v>
      </c>
      <c r="L47">
        <v>22.32</v>
      </c>
      <c r="M47">
        <v>0</v>
      </c>
      <c r="N47">
        <v>0</v>
      </c>
      <c r="O47">
        <v>1.24</v>
      </c>
      <c r="P47">
        <v>1.58</v>
      </c>
      <c r="R47" t="s">
        <v>86</v>
      </c>
      <c r="S47" s="13">
        <v>46086</v>
      </c>
      <c r="T47" s="13">
        <v>46090</v>
      </c>
      <c r="U47" t="s">
        <v>25</v>
      </c>
      <c r="V47" t="s">
        <v>722</v>
      </c>
      <c r="W47" t="s">
        <v>723</v>
      </c>
      <c r="Y47" t="s">
        <v>724</v>
      </c>
      <c r="Z47" t="s">
        <v>119</v>
      </c>
      <c r="AA47" t="s">
        <v>725</v>
      </c>
      <c r="AB47" t="s">
        <v>88</v>
      </c>
      <c r="AF47" s="8">
        <f t="shared" si="3"/>
        <v>7</v>
      </c>
      <c r="AG47" s="8">
        <f t="shared" si="4"/>
        <v>4.99</v>
      </c>
      <c r="AH47" s="8">
        <f t="shared" si="5"/>
        <v>2.8200000000000003</v>
      </c>
      <c r="AI47" cm="1">
        <f t="array" ref="AI47">IF(A47="","",IFERROR(INDEX(Listings!A:A,MATCH(TEXT(C47,"MM/DD/YYYY")&amp;G47&amp;U47,Listings!J$2:J$201,0)+1),""))</f>
        <v>67</v>
      </c>
    </row>
    <row r="48" spans="1:35" ht="15" customHeight="1" x14ac:dyDescent="0.35">
      <c r="A48" s="13">
        <v>46087</v>
      </c>
      <c r="B48" t="s">
        <v>726</v>
      </c>
      <c r="C48" s="13">
        <v>46077</v>
      </c>
      <c r="D48" t="s">
        <v>85</v>
      </c>
      <c r="F48" t="s">
        <v>727</v>
      </c>
      <c r="G48" t="s">
        <v>124</v>
      </c>
      <c r="H48" t="s">
        <v>728</v>
      </c>
      <c r="I48" t="s">
        <v>23</v>
      </c>
      <c r="J48">
        <v>29</v>
      </c>
      <c r="K48">
        <v>6.49</v>
      </c>
      <c r="L48">
        <v>38.39</v>
      </c>
      <c r="M48">
        <v>0</v>
      </c>
      <c r="N48">
        <v>0</v>
      </c>
      <c r="O48">
        <v>2.29</v>
      </c>
      <c r="P48">
        <v>2.9</v>
      </c>
      <c r="R48" t="s">
        <v>86</v>
      </c>
      <c r="S48" s="13">
        <v>46089</v>
      </c>
      <c r="T48" s="13">
        <v>46092</v>
      </c>
      <c r="U48" t="s">
        <v>40</v>
      </c>
      <c r="V48" t="s">
        <v>729</v>
      </c>
      <c r="W48" t="s">
        <v>730</v>
      </c>
      <c r="Y48" t="s">
        <v>731</v>
      </c>
      <c r="Z48" t="s">
        <v>122</v>
      </c>
      <c r="AA48" t="s">
        <v>732</v>
      </c>
      <c r="AB48" t="s">
        <v>88</v>
      </c>
      <c r="AC48">
        <v>1.79</v>
      </c>
      <c r="AF48" s="8">
        <f t="shared" si="3"/>
        <v>10</v>
      </c>
      <c r="AG48" s="8">
        <f t="shared" si="4"/>
        <v>6.49</v>
      </c>
      <c r="AH48" s="8">
        <f t="shared" si="5"/>
        <v>5.1899999999999995</v>
      </c>
      <c r="AI48" cm="1">
        <f t="array" ref="AI48">IF(A48="","",IFERROR(INDEX(Listings!A:A,MATCH(TEXT(C48,"MM/DD/YYYY")&amp;G48&amp;U48,Listings!J$2:J$201,0)+1),""))</f>
        <v>69</v>
      </c>
    </row>
    <row r="49" spans="1:35" ht="15" customHeight="1" x14ac:dyDescent="0.35">
      <c r="A49" s="13">
        <v>46096</v>
      </c>
      <c r="B49" t="s">
        <v>733</v>
      </c>
      <c r="C49" s="13">
        <v>46087</v>
      </c>
      <c r="D49" t="s">
        <v>85</v>
      </c>
      <c r="F49" t="s">
        <v>734</v>
      </c>
      <c r="G49" t="s">
        <v>45</v>
      </c>
      <c r="H49" t="s">
        <v>735</v>
      </c>
      <c r="I49" t="s">
        <v>30</v>
      </c>
      <c r="J49">
        <v>24</v>
      </c>
      <c r="K49">
        <v>7.99</v>
      </c>
      <c r="L49">
        <v>34.39</v>
      </c>
      <c r="M49">
        <v>0</v>
      </c>
      <c r="N49">
        <v>0</v>
      </c>
      <c r="O49">
        <v>1.9</v>
      </c>
      <c r="P49">
        <v>2.4</v>
      </c>
      <c r="R49" t="s">
        <v>86</v>
      </c>
      <c r="S49" s="13">
        <v>46098</v>
      </c>
      <c r="T49" s="13">
        <v>46102</v>
      </c>
      <c r="U49" t="s">
        <v>25</v>
      </c>
      <c r="V49" t="s">
        <v>736</v>
      </c>
      <c r="W49" t="s">
        <v>737</v>
      </c>
      <c r="Y49" t="s">
        <v>738</v>
      </c>
      <c r="Z49" t="s">
        <v>117</v>
      </c>
      <c r="AA49" t="s">
        <v>739</v>
      </c>
      <c r="AB49" t="s">
        <v>88</v>
      </c>
      <c r="AC49">
        <v>2.1</v>
      </c>
      <c r="AF49" s="8">
        <f t="shared" si="3"/>
        <v>9</v>
      </c>
      <c r="AG49" s="8">
        <f t="shared" si="4"/>
        <v>7.99</v>
      </c>
      <c r="AH49" s="8">
        <f t="shared" si="5"/>
        <v>4.3</v>
      </c>
      <c r="AI49" cm="1">
        <f t="array" ref="AI49">IF(A49="","",IFERROR(INDEX(Listings!A:A,MATCH(TEXT(C49,"MM/DD/YYYY")&amp;G49&amp;U49,Listings!J$2:J$201,0)+1),""))</f>
        <v>76</v>
      </c>
    </row>
    <row r="50" spans="1:35" ht="15" customHeight="1" x14ac:dyDescent="0.35">
      <c r="A50" s="13">
        <v>46097</v>
      </c>
      <c r="B50" t="s">
        <v>740</v>
      </c>
      <c r="C50" s="13">
        <v>46092</v>
      </c>
      <c r="D50" t="s">
        <v>85</v>
      </c>
      <c r="F50" t="s">
        <v>741</v>
      </c>
      <c r="G50" t="s">
        <v>41</v>
      </c>
      <c r="H50" t="s">
        <v>742</v>
      </c>
      <c r="I50" t="s">
        <v>27</v>
      </c>
      <c r="J50">
        <v>13</v>
      </c>
      <c r="K50">
        <v>7.99</v>
      </c>
      <c r="L50">
        <v>22.29</v>
      </c>
      <c r="M50">
        <v>0</v>
      </c>
      <c r="N50">
        <v>0</v>
      </c>
      <c r="O50">
        <v>1.03</v>
      </c>
      <c r="P50">
        <v>1.3</v>
      </c>
      <c r="R50" t="s">
        <v>86</v>
      </c>
      <c r="S50" s="13">
        <v>46099</v>
      </c>
      <c r="T50" s="13">
        <v>46103</v>
      </c>
      <c r="U50" t="s">
        <v>28</v>
      </c>
      <c r="V50" t="s">
        <v>743</v>
      </c>
      <c r="W50" t="s">
        <v>744</v>
      </c>
      <c r="Y50" t="s">
        <v>745</v>
      </c>
      <c r="Z50" t="s">
        <v>114</v>
      </c>
      <c r="AA50" t="s">
        <v>746</v>
      </c>
      <c r="AB50" t="s">
        <v>88</v>
      </c>
      <c r="AF50" s="8">
        <f t="shared" si="3"/>
        <v>5</v>
      </c>
      <c r="AG50" s="8">
        <f t="shared" si="4"/>
        <v>7.99</v>
      </c>
      <c r="AH50" s="8">
        <f t="shared" si="5"/>
        <v>2.33</v>
      </c>
      <c r="AI50" cm="1">
        <f t="array" ref="AI50">IF(A50="","",IFERROR(INDEX(Listings!A:A,MATCH(TEXT(C50,"MM/DD/YYYY")&amp;G50&amp;U50,Listings!J$2:J$201,0)+1),""))</f>
        <v>79</v>
      </c>
    </row>
    <row r="51" spans="1:35" ht="15" customHeight="1" x14ac:dyDescent="0.35">
      <c r="A51" s="13">
        <v>46101</v>
      </c>
      <c r="B51" t="s">
        <v>747</v>
      </c>
      <c r="C51" s="13">
        <v>46082</v>
      </c>
      <c r="D51" t="s">
        <v>85</v>
      </c>
      <c r="F51" t="s">
        <v>748</v>
      </c>
      <c r="G51" t="s">
        <v>38</v>
      </c>
      <c r="H51" t="s">
        <v>749</v>
      </c>
      <c r="I51" t="s">
        <v>27</v>
      </c>
      <c r="J51">
        <v>23</v>
      </c>
      <c r="K51">
        <v>7.99</v>
      </c>
      <c r="L51">
        <v>33.29</v>
      </c>
      <c r="M51">
        <v>0</v>
      </c>
      <c r="N51">
        <v>0</v>
      </c>
      <c r="O51">
        <v>1.82</v>
      </c>
      <c r="P51">
        <v>2.2999999999999998</v>
      </c>
      <c r="R51" t="s">
        <v>86</v>
      </c>
      <c r="S51" s="13">
        <v>46103</v>
      </c>
      <c r="T51" s="13">
        <v>46105</v>
      </c>
      <c r="U51" t="s">
        <v>25</v>
      </c>
      <c r="V51" t="s">
        <v>750</v>
      </c>
      <c r="W51" t="s">
        <v>751</v>
      </c>
      <c r="Y51" t="s">
        <v>752</v>
      </c>
      <c r="Z51" t="s">
        <v>114</v>
      </c>
      <c r="AA51" t="s">
        <v>753</v>
      </c>
      <c r="AB51" t="s">
        <v>88</v>
      </c>
      <c r="AC51">
        <v>1.17</v>
      </c>
      <c r="AF51" s="8">
        <f t="shared" si="3"/>
        <v>19</v>
      </c>
      <c r="AG51" s="8">
        <f t="shared" si="4"/>
        <v>7.99</v>
      </c>
      <c r="AH51" s="8">
        <f t="shared" si="5"/>
        <v>4.12</v>
      </c>
      <c r="AI51" cm="1">
        <f t="array" ref="AI51">IF(A51="","",IFERROR(INDEX(Listings!A:A,MATCH(TEXT(C51,"MM/DD/YYYY")&amp;G51&amp;U51,Listings!J$2:J$201,0)+1),""))</f>
        <v>72</v>
      </c>
    </row>
    <row r="52" spans="1:35" ht="15" customHeight="1" x14ac:dyDescent="0.35">
      <c r="A52" s="13">
        <v>46102</v>
      </c>
      <c r="B52" t="s">
        <v>754</v>
      </c>
      <c r="C52" s="13">
        <v>46095</v>
      </c>
      <c r="D52" t="s">
        <v>85</v>
      </c>
      <c r="F52" t="s">
        <v>755</v>
      </c>
      <c r="G52" t="s">
        <v>47</v>
      </c>
      <c r="H52" t="s">
        <v>756</v>
      </c>
      <c r="I52" t="s">
        <v>30</v>
      </c>
      <c r="J52">
        <v>21</v>
      </c>
      <c r="K52">
        <v>6.49</v>
      </c>
      <c r="L52">
        <v>29.59</v>
      </c>
      <c r="M52">
        <v>0</v>
      </c>
      <c r="N52">
        <v>0</v>
      </c>
      <c r="O52">
        <v>1.66</v>
      </c>
      <c r="P52">
        <v>2.1</v>
      </c>
      <c r="R52" t="s">
        <v>86</v>
      </c>
      <c r="S52" s="13">
        <v>46104</v>
      </c>
      <c r="T52" s="13">
        <v>46106</v>
      </c>
      <c r="U52" t="s">
        <v>40</v>
      </c>
      <c r="V52" t="s">
        <v>757</v>
      </c>
      <c r="W52" t="s">
        <v>758</v>
      </c>
      <c r="Y52" t="s">
        <v>759</v>
      </c>
      <c r="Z52" t="s">
        <v>92</v>
      </c>
      <c r="AA52" t="s">
        <v>760</v>
      </c>
      <c r="AB52" t="s">
        <v>88</v>
      </c>
      <c r="AC52">
        <v>1.76</v>
      </c>
      <c r="AF52" s="8">
        <f t="shared" si="3"/>
        <v>7</v>
      </c>
      <c r="AG52" s="8">
        <f t="shared" si="4"/>
        <v>6.49</v>
      </c>
      <c r="AH52" s="8">
        <f t="shared" si="5"/>
        <v>3.76</v>
      </c>
      <c r="AI52" cm="1">
        <f t="array" ref="AI52">IF(A52="","",IFERROR(INDEX(Listings!A:A,MATCH(TEXT(C52,"MM/DD/YYYY")&amp;G52&amp;U52,Listings!J$2:J$201,0)+1),""))</f>
        <v>80</v>
      </c>
    </row>
    <row r="53" spans="1:35" ht="15" customHeight="1" x14ac:dyDescent="0.35">
      <c r="A53" s="13">
        <v>46103</v>
      </c>
      <c r="B53" t="s">
        <v>761</v>
      </c>
      <c r="C53" s="13">
        <v>46096</v>
      </c>
      <c r="D53" t="s">
        <v>85</v>
      </c>
      <c r="F53" t="s">
        <v>762</v>
      </c>
      <c r="G53" t="s">
        <v>142</v>
      </c>
      <c r="H53" t="s">
        <v>763</v>
      </c>
      <c r="I53" t="s">
        <v>30</v>
      </c>
      <c r="J53">
        <v>22.5</v>
      </c>
      <c r="K53">
        <v>6.49</v>
      </c>
      <c r="L53">
        <v>31.24</v>
      </c>
      <c r="M53">
        <v>0</v>
      </c>
      <c r="N53">
        <v>0</v>
      </c>
      <c r="O53">
        <v>1.78</v>
      </c>
      <c r="P53">
        <v>2.25</v>
      </c>
      <c r="R53" t="s">
        <v>86</v>
      </c>
      <c r="S53" s="13">
        <v>46105</v>
      </c>
      <c r="T53" s="13">
        <v>46108</v>
      </c>
      <c r="U53" t="s">
        <v>25</v>
      </c>
      <c r="V53" t="s">
        <v>764</v>
      </c>
      <c r="W53" t="s">
        <v>765</v>
      </c>
      <c r="Y53" t="s">
        <v>766</v>
      </c>
      <c r="Z53" t="s">
        <v>105</v>
      </c>
      <c r="AA53" t="s">
        <v>767</v>
      </c>
      <c r="AB53" t="s">
        <v>88</v>
      </c>
      <c r="AC53">
        <v>1.99</v>
      </c>
      <c r="AF53" s="8">
        <f t="shared" si="3"/>
        <v>7</v>
      </c>
      <c r="AG53" s="8">
        <f t="shared" si="4"/>
        <v>6.49</v>
      </c>
      <c r="AH53" s="8">
        <f t="shared" si="5"/>
        <v>4.03</v>
      </c>
      <c r="AI53" cm="1">
        <f t="array" ref="AI53">IF(A53="","",IFERROR(INDEX(Listings!A:A,MATCH(TEXT(C53,"MM/DD/YYYY")&amp;G53&amp;U53,Listings!J$2:J$201,0)+1),""))</f>
        <v>83</v>
      </c>
    </row>
    <row r="54" spans="1:35" ht="15" customHeight="1" x14ac:dyDescent="0.35">
      <c r="A54" s="13">
        <v>46104</v>
      </c>
      <c r="B54" t="s">
        <v>768</v>
      </c>
      <c r="C54" s="13">
        <v>46096</v>
      </c>
      <c r="D54" t="s">
        <v>85</v>
      </c>
      <c r="F54" t="s">
        <v>769</v>
      </c>
      <c r="G54" t="s">
        <v>101</v>
      </c>
      <c r="H54" t="s">
        <v>770</v>
      </c>
      <c r="I54" t="s">
        <v>42</v>
      </c>
      <c r="J54">
        <v>11</v>
      </c>
      <c r="K54">
        <v>6.49</v>
      </c>
      <c r="L54">
        <v>18.59</v>
      </c>
      <c r="M54">
        <v>0</v>
      </c>
      <c r="N54">
        <v>0</v>
      </c>
      <c r="O54">
        <v>0.87</v>
      </c>
      <c r="P54">
        <v>1.1000000000000001</v>
      </c>
      <c r="R54" t="s">
        <v>86</v>
      </c>
      <c r="S54" s="13">
        <v>46106</v>
      </c>
      <c r="T54" s="13">
        <v>46108</v>
      </c>
      <c r="U54" t="s">
        <v>25</v>
      </c>
      <c r="V54" t="s">
        <v>771</v>
      </c>
      <c r="W54" t="s">
        <v>772</v>
      </c>
      <c r="Y54" t="s">
        <v>773</v>
      </c>
      <c r="Z54" t="s">
        <v>123</v>
      </c>
      <c r="AA54" t="s">
        <v>774</v>
      </c>
      <c r="AB54" t="s">
        <v>88</v>
      </c>
      <c r="AF54" s="8">
        <f t="shared" si="3"/>
        <v>8</v>
      </c>
      <c r="AG54" s="8">
        <f t="shared" si="4"/>
        <v>6.49</v>
      </c>
      <c r="AH54" s="8">
        <f t="shared" si="5"/>
        <v>1.9700000000000002</v>
      </c>
      <c r="AI54" cm="1">
        <f t="array" ref="AI54">IF(A54="","",IFERROR(INDEX(Listings!A:A,MATCH(TEXT(C54,"MM/DD/YYYY")&amp;G54&amp;U54,Listings!J$2:J$201,0)+1),""))</f>
        <v>81</v>
      </c>
    </row>
    <row r="55" spans="1:35" ht="15" customHeight="1" x14ac:dyDescent="0.35">
      <c r="A55" s="13">
        <v>46106</v>
      </c>
      <c r="B55" t="s">
        <v>576</v>
      </c>
      <c r="C55" s="13">
        <v>46080</v>
      </c>
      <c r="D55" t="s">
        <v>85</v>
      </c>
      <c r="F55" t="s">
        <v>775</v>
      </c>
      <c r="G55" t="s">
        <v>33</v>
      </c>
      <c r="H55" t="s">
        <v>776</v>
      </c>
      <c r="I55" t="s">
        <v>30</v>
      </c>
      <c r="J55">
        <v>11</v>
      </c>
      <c r="K55">
        <v>6.49</v>
      </c>
      <c r="L55">
        <v>18.59</v>
      </c>
      <c r="M55">
        <v>0</v>
      </c>
      <c r="N55">
        <v>0</v>
      </c>
      <c r="O55">
        <v>0.87</v>
      </c>
      <c r="P55">
        <v>1.1000000000000001</v>
      </c>
      <c r="R55" t="s">
        <v>86</v>
      </c>
      <c r="S55" s="13">
        <v>46108</v>
      </c>
      <c r="T55" s="13">
        <v>46111</v>
      </c>
      <c r="U55" t="s">
        <v>28</v>
      </c>
      <c r="V55" t="s">
        <v>777</v>
      </c>
      <c r="W55" t="s">
        <v>778</v>
      </c>
      <c r="Y55" t="s">
        <v>779</v>
      </c>
      <c r="Z55" t="s">
        <v>93</v>
      </c>
      <c r="AA55" t="s">
        <v>780</v>
      </c>
      <c r="AB55" t="s">
        <v>88</v>
      </c>
      <c r="AC55">
        <v>0.86</v>
      </c>
      <c r="AF55" s="8">
        <f t="shared" si="3"/>
        <v>26</v>
      </c>
      <c r="AG55" s="8">
        <f t="shared" si="4"/>
        <v>6.49</v>
      </c>
      <c r="AH55" s="8">
        <f t="shared" si="5"/>
        <v>1.9700000000000002</v>
      </c>
      <c r="AI55" cm="1">
        <f t="array" ref="AI55">IF(A55="","",IFERROR(INDEX(Listings!A:A,MATCH(TEXT(C55,"MM/DD/YYYY")&amp;G55&amp;U55,Listings!J$2:J$201,0)+1),""))</f>
        <v>70</v>
      </c>
    </row>
    <row r="56" spans="1:35" ht="15" customHeight="1" x14ac:dyDescent="0.35">
      <c r="A56" s="13">
        <v>46106</v>
      </c>
      <c r="B56" t="s">
        <v>611</v>
      </c>
      <c r="C56" s="13">
        <v>46092</v>
      </c>
      <c r="D56" t="s">
        <v>85</v>
      </c>
      <c r="F56" t="s">
        <v>781</v>
      </c>
      <c r="G56" t="s">
        <v>47</v>
      </c>
      <c r="H56" t="s">
        <v>782</v>
      </c>
      <c r="I56" t="s">
        <v>27</v>
      </c>
      <c r="J56">
        <v>20</v>
      </c>
      <c r="K56">
        <v>3.99</v>
      </c>
      <c r="L56">
        <v>25.99</v>
      </c>
      <c r="M56">
        <v>0</v>
      </c>
      <c r="N56">
        <v>0</v>
      </c>
      <c r="O56">
        <v>1.58</v>
      </c>
      <c r="P56">
        <v>2</v>
      </c>
      <c r="R56" t="s">
        <v>86</v>
      </c>
      <c r="S56" s="13">
        <v>46108</v>
      </c>
      <c r="T56" s="13">
        <v>46112</v>
      </c>
      <c r="U56" t="s">
        <v>141</v>
      </c>
      <c r="V56" t="s">
        <v>783</v>
      </c>
      <c r="W56" t="s">
        <v>784</v>
      </c>
      <c r="Y56" t="s">
        <v>785</v>
      </c>
      <c r="Z56" t="s">
        <v>120</v>
      </c>
      <c r="AA56" t="s">
        <v>786</v>
      </c>
      <c r="AB56" t="s">
        <v>88</v>
      </c>
      <c r="AC56">
        <v>1.28</v>
      </c>
      <c r="AF56" s="8">
        <f t="shared" si="3"/>
        <v>14</v>
      </c>
      <c r="AG56" s="8">
        <f t="shared" si="4"/>
        <v>3.99</v>
      </c>
      <c r="AH56" s="8">
        <f t="shared" si="5"/>
        <v>3.58</v>
      </c>
      <c r="AI56" cm="1">
        <f t="array" ref="AI56">IF(A56="","",IFERROR(INDEX(Listings!A:A,MATCH(TEXT(C56,"MM/DD/YYYY")&amp;G56&amp;U56,Listings!J$2:J$201,0)+1),""))</f>
        <v>78</v>
      </c>
    </row>
    <row r="57" spans="1:35" ht="15" customHeight="1" x14ac:dyDescent="0.35">
      <c r="A57" s="13">
        <v>46106</v>
      </c>
      <c r="B57" t="s">
        <v>787</v>
      </c>
      <c r="C57" s="13">
        <v>46102</v>
      </c>
      <c r="D57" t="s">
        <v>85</v>
      </c>
      <c r="F57" t="s">
        <v>788</v>
      </c>
      <c r="G57" t="s">
        <v>90</v>
      </c>
      <c r="H57" t="s">
        <v>789</v>
      </c>
      <c r="I57" t="s">
        <v>23</v>
      </c>
      <c r="J57">
        <v>17</v>
      </c>
      <c r="K57">
        <v>5.99</v>
      </c>
      <c r="L57">
        <v>24.69</v>
      </c>
      <c r="M57">
        <v>0</v>
      </c>
      <c r="N57">
        <v>0</v>
      </c>
      <c r="O57">
        <v>1.34</v>
      </c>
      <c r="P57">
        <v>1.7</v>
      </c>
      <c r="R57" t="s">
        <v>86</v>
      </c>
      <c r="S57" s="13">
        <v>46108</v>
      </c>
      <c r="T57" s="13">
        <v>46112</v>
      </c>
      <c r="U57" t="s">
        <v>28</v>
      </c>
      <c r="V57" t="s">
        <v>790</v>
      </c>
      <c r="W57" t="s">
        <v>791</v>
      </c>
      <c r="Y57" t="s">
        <v>792</v>
      </c>
      <c r="Z57" t="s">
        <v>793</v>
      </c>
      <c r="AA57" t="s">
        <v>794</v>
      </c>
      <c r="AB57" t="s">
        <v>88</v>
      </c>
      <c r="AC57">
        <v>1.67</v>
      </c>
      <c r="AF57" s="8">
        <f t="shared" si="3"/>
        <v>4</v>
      </c>
      <c r="AG57" s="8">
        <f t="shared" si="4"/>
        <v>5.99</v>
      </c>
      <c r="AH57" s="8">
        <f t="shared" si="5"/>
        <v>3.04</v>
      </c>
      <c r="AI57" cm="1">
        <f t="array" ref="AI57">IF(A57="","",IFERROR(INDEX(Listings!A:A,MATCH(TEXT(C57,"MM/DD/YYYY")&amp;G57&amp;U57,Listings!J$2:J$201,0)+1),""))</f>
        <v>85</v>
      </c>
    </row>
    <row r="58" spans="1:35" ht="15" customHeight="1" x14ac:dyDescent="0.35">
      <c r="A58" s="13">
        <v>46110</v>
      </c>
      <c r="B58" t="s">
        <v>795</v>
      </c>
      <c r="C58" s="13">
        <v>46103</v>
      </c>
      <c r="D58" t="s">
        <v>85</v>
      </c>
      <c r="F58" t="s">
        <v>796</v>
      </c>
      <c r="G58" t="s">
        <v>103</v>
      </c>
      <c r="H58" t="s">
        <v>797</v>
      </c>
      <c r="I58" t="s">
        <v>32</v>
      </c>
      <c r="J58">
        <v>11</v>
      </c>
      <c r="K58">
        <v>11.99</v>
      </c>
      <c r="L58">
        <v>24.09</v>
      </c>
      <c r="M58">
        <v>0</v>
      </c>
      <c r="N58">
        <v>0</v>
      </c>
      <c r="O58">
        <v>0.87</v>
      </c>
      <c r="P58">
        <v>1.1000000000000001</v>
      </c>
      <c r="R58" t="s">
        <v>86</v>
      </c>
      <c r="S58" s="13">
        <v>46112</v>
      </c>
      <c r="T58" s="13">
        <v>46116</v>
      </c>
      <c r="U58" t="s">
        <v>141</v>
      </c>
      <c r="V58" t="s">
        <v>798</v>
      </c>
      <c r="W58" t="s">
        <v>799</v>
      </c>
      <c r="Y58" t="s">
        <v>800</v>
      </c>
      <c r="Z58" t="s">
        <v>91</v>
      </c>
      <c r="AA58" t="s">
        <v>801</v>
      </c>
      <c r="AB58" t="s">
        <v>88</v>
      </c>
      <c r="AF58" s="8">
        <f t="shared" si="3"/>
        <v>7</v>
      </c>
      <c r="AG58" s="8">
        <f t="shared" si="4"/>
        <v>11.99</v>
      </c>
      <c r="AH58" s="8">
        <f t="shared" si="5"/>
        <v>1.9700000000000002</v>
      </c>
      <c r="AI58" cm="1">
        <f t="array" ref="AI58">IF(A58="","",IFERROR(INDEX(Listings!A:A,MATCH(TEXT(C58,"MM/DD/YYYY")&amp;G58&amp;U58,Listings!J$2:J$201,0)+1),""))</f>
        <v>86</v>
      </c>
    </row>
    <row r="59" spans="1:35" ht="15" customHeight="1" x14ac:dyDescent="0.35">
      <c r="A59" s="13">
        <v>46111</v>
      </c>
      <c r="B59" t="s">
        <v>768</v>
      </c>
      <c r="C59" s="13">
        <v>46085</v>
      </c>
      <c r="D59" t="s">
        <v>94</v>
      </c>
      <c r="E59" t="s">
        <v>95</v>
      </c>
      <c r="F59" t="s">
        <v>802</v>
      </c>
      <c r="G59" t="s">
        <v>132</v>
      </c>
      <c r="H59" t="s">
        <v>803</v>
      </c>
      <c r="I59" t="s">
        <v>27</v>
      </c>
      <c r="J59">
        <v>15.3</v>
      </c>
      <c r="K59">
        <v>11.99</v>
      </c>
      <c r="L59">
        <v>42.9</v>
      </c>
      <c r="M59">
        <v>0</v>
      </c>
      <c r="N59">
        <v>0</v>
      </c>
      <c r="O59">
        <v>2.2200000000000002</v>
      </c>
      <c r="P59">
        <v>2.81</v>
      </c>
      <c r="R59" t="s">
        <v>86</v>
      </c>
      <c r="S59" s="13">
        <v>46113</v>
      </c>
      <c r="T59" s="13">
        <v>46115</v>
      </c>
      <c r="U59" t="s">
        <v>25</v>
      </c>
      <c r="V59" t="s">
        <v>804</v>
      </c>
      <c r="W59" t="s">
        <v>805</v>
      </c>
      <c r="Y59" t="s">
        <v>806</v>
      </c>
      <c r="Z59" t="s">
        <v>96</v>
      </c>
      <c r="AA59" t="s">
        <v>807</v>
      </c>
      <c r="AB59" t="s">
        <v>88</v>
      </c>
      <c r="AC59">
        <v>1.34</v>
      </c>
      <c r="AF59" s="8">
        <f t="shared" si="3"/>
        <v>26</v>
      </c>
      <c r="AG59" s="8">
        <f t="shared" si="4"/>
        <v>5.9950000000000001</v>
      </c>
      <c r="AH59" s="8">
        <f t="shared" si="5"/>
        <v>5.03</v>
      </c>
      <c r="AI59" cm="1">
        <f t="array" ref="AI59">IF(A59="","",IFERROR(INDEX(Listings!A:A,MATCH(TEXT(C59,"MM/DD/YYYY")&amp;G59&amp;U59,Listings!J$2:J$201,0)+1),""))</f>
        <v>73</v>
      </c>
    </row>
    <row r="60" spans="1:35" ht="15" customHeight="1" x14ac:dyDescent="0.35">
      <c r="A60" s="13">
        <v>46111</v>
      </c>
      <c r="B60" t="s">
        <v>768</v>
      </c>
      <c r="C60" s="13">
        <v>46087</v>
      </c>
      <c r="D60" t="s">
        <v>94</v>
      </c>
      <c r="F60" t="s">
        <v>802</v>
      </c>
      <c r="G60" t="s">
        <v>103</v>
      </c>
      <c r="H60" t="s">
        <v>808</v>
      </c>
      <c r="I60" t="s">
        <v>32</v>
      </c>
      <c r="J60">
        <v>12.8</v>
      </c>
      <c r="N60">
        <v>0</v>
      </c>
      <c r="R60" t="s">
        <v>86</v>
      </c>
      <c r="S60" s="13">
        <v>46113</v>
      </c>
      <c r="T60" s="13">
        <v>46115</v>
      </c>
      <c r="U60" t="s">
        <v>25</v>
      </c>
      <c r="V60" t="s">
        <v>804</v>
      </c>
      <c r="W60" t="s">
        <v>805</v>
      </c>
      <c r="Y60" t="s">
        <v>806</v>
      </c>
      <c r="Z60" t="s">
        <v>96</v>
      </c>
      <c r="AA60" t="s">
        <v>807</v>
      </c>
      <c r="AB60" t="s">
        <v>88</v>
      </c>
      <c r="AF60" s="8">
        <f t="shared" si="3"/>
        <v>24</v>
      </c>
      <c r="AG60" s="8">
        <f t="shared" si="4"/>
        <v>0</v>
      </c>
      <c r="AH60" s="8">
        <f t="shared" si="5"/>
        <v>0</v>
      </c>
      <c r="AI60" cm="1">
        <f t="array" ref="AI60">IF(A60="","",IFERROR(INDEX(Listings!A:A,MATCH(TEXT(C60,"MM/DD/YYYY")&amp;G60&amp;U60,Listings!J$2:J$201,0)+1),""))</f>
        <v>75</v>
      </c>
    </row>
    <row r="61" spans="1:35" ht="15" customHeight="1" x14ac:dyDescent="0.35">
      <c r="A61" s="13">
        <v>46121</v>
      </c>
      <c r="B61" t="s">
        <v>809</v>
      </c>
      <c r="C61" s="13">
        <v>46096</v>
      </c>
      <c r="D61" t="s">
        <v>85</v>
      </c>
      <c r="F61" t="s">
        <v>810</v>
      </c>
      <c r="G61" t="s">
        <v>33</v>
      </c>
      <c r="H61" t="s">
        <v>811</v>
      </c>
      <c r="I61" t="s">
        <v>168</v>
      </c>
      <c r="J61">
        <v>12</v>
      </c>
      <c r="K61">
        <v>4.99</v>
      </c>
      <c r="L61">
        <v>18.190000000000001</v>
      </c>
      <c r="M61">
        <v>0</v>
      </c>
      <c r="N61">
        <v>0</v>
      </c>
      <c r="O61">
        <v>0.95</v>
      </c>
      <c r="P61">
        <v>1.2</v>
      </c>
      <c r="R61" t="s">
        <v>86</v>
      </c>
      <c r="S61" s="13">
        <v>46123</v>
      </c>
      <c r="T61" s="13">
        <v>46126</v>
      </c>
      <c r="U61" t="s">
        <v>87</v>
      </c>
      <c r="V61" t="s">
        <v>812</v>
      </c>
      <c r="W61" t="s">
        <v>813</v>
      </c>
      <c r="Y61" t="s">
        <v>814</v>
      </c>
      <c r="Z61" t="s">
        <v>104</v>
      </c>
      <c r="AA61" t="s">
        <v>815</v>
      </c>
      <c r="AB61" t="s">
        <v>88</v>
      </c>
      <c r="AC61">
        <v>0.81</v>
      </c>
      <c r="AF61" s="8">
        <f t="shared" si="3"/>
        <v>25</v>
      </c>
      <c r="AG61" s="8">
        <f t="shared" si="4"/>
        <v>4.99</v>
      </c>
      <c r="AH61" s="8">
        <f t="shared" si="5"/>
        <v>2.15</v>
      </c>
      <c r="AI61" cm="1">
        <f t="array" ref="AI61">IF(A61="","",IFERROR(INDEX(Listings!A:A,MATCH(TEXT(C61,"MM/DD/YYYY")&amp;G61&amp;U61,Listings!J$2:J$201,0)+1),""))</f>
        <v>82</v>
      </c>
    </row>
    <row r="62" spans="1:35" ht="15" customHeight="1" x14ac:dyDescent="0.35">
      <c r="A62" s="13"/>
      <c r="C62" s="13"/>
      <c r="S62" s="13"/>
      <c r="T62" s="13"/>
      <c r="AF62" s="8" t="str">
        <f t="shared" si="3"/>
        <v/>
      </c>
      <c r="AG62" s="8" t="str">
        <f t="shared" si="4"/>
        <v/>
      </c>
      <c r="AH62" s="8" t="str">
        <f t="shared" si="5"/>
        <v/>
      </c>
      <c r="AI62" t="str" cm="1">
        <f t="array" ref="AI62">IF(A62="","",IFERROR(INDEX(Listings!A:A,MATCH(TEXT(C62,"MM/DD/YYYY")&amp;G62&amp;U62,Listings!J$2:J$201,0)+1),""))</f>
        <v/>
      </c>
    </row>
    <row r="63" spans="1:35" ht="15" customHeight="1" x14ac:dyDescent="0.35">
      <c r="A63" s="13"/>
      <c r="C63" s="13"/>
      <c r="S63" s="13"/>
      <c r="T63" s="13"/>
      <c r="AF63" s="8" t="str">
        <f t="shared" si="3"/>
        <v/>
      </c>
      <c r="AG63" s="8" t="str">
        <f t="shared" si="4"/>
        <v/>
      </c>
      <c r="AH63" s="8" t="str">
        <f t="shared" si="5"/>
        <v/>
      </c>
      <c r="AI63" t="str" cm="1">
        <f t="array" ref="AI63">IF(A63="","",IFERROR(INDEX(Listings!A:A,MATCH(TEXT(C63,"MM/DD/YYYY")&amp;G63&amp;U63,Listings!J$2:J$201,0)+1),""))</f>
        <v/>
      </c>
    </row>
    <row r="64" spans="1:35" ht="15" customHeight="1" x14ac:dyDescent="0.35">
      <c r="A64" s="13"/>
      <c r="C64" s="13"/>
      <c r="S64" s="13"/>
      <c r="T64" s="13"/>
      <c r="AF64" s="8" t="str">
        <f t="shared" si="3"/>
        <v/>
      </c>
      <c r="AG64" s="8" t="str">
        <f t="shared" si="4"/>
        <v/>
      </c>
      <c r="AH64" s="8" t="str">
        <f t="shared" si="5"/>
        <v/>
      </c>
      <c r="AI64" t="str" cm="1">
        <f t="array" ref="AI64">IF(A64="","",IFERROR(INDEX(Listings!A:A,MATCH(TEXT(C64,"MM/DD/YYYY")&amp;G64&amp;U64,Listings!J$2:J$201,0)+1),""))</f>
        <v/>
      </c>
    </row>
    <row r="65" spans="1:35" ht="15" customHeight="1" x14ac:dyDescent="0.35">
      <c r="A65" s="13"/>
      <c r="C65" s="13"/>
      <c r="S65" s="13"/>
      <c r="T65" s="13"/>
      <c r="AF65" s="8" t="str">
        <f t="shared" si="3"/>
        <v/>
      </c>
      <c r="AG65" s="8" t="str">
        <f t="shared" si="4"/>
        <v/>
      </c>
      <c r="AH65" s="8" t="str">
        <f t="shared" si="5"/>
        <v/>
      </c>
      <c r="AI65" t="str" cm="1">
        <f t="array" ref="AI65">IF(A65="","",IFERROR(INDEX(Listings!A:A,MATCH(TEXT(C65,"MM/DD/YYYY")&amp;G65&amp;U65,Listings!J$2:J$201,0)+1),""))</f>
        <v/>
      </c>
    </row>
    <row r="66" spans="1:35" ht="15" customHeight="1" x14ac:dyDescent="0.35">
      <c r="A66" s="13"/>
      <c r="C66" s="13"/>
      <c r="S66" s="13"/>
      <c r="T66" s="13"/>
      <c r="AF66" s="8" t="str">
        <f t="shared" ref="AF66:AF97" si="6">IF(OR(A66="",C66=""),"",A66-C66)</f>
        <v/>
      </c>
      <c r="AG66" s="8" t="str">
        <f t="shared" ref="AG66:AG97" si="7">IF(A66="","",IF(D66="No",IFERROR(K66*1,0),IF(D66="Yes",IFERROR(K66/E66,0),"")))</f>
        <v/>
      </c>
      <c r="AH66" s="8" t="str">
        <f t="shared" ref="AH66:AH97" si="8">IF(A66="","",IFERROR(N66*1,0)+IFERROR(O66*1,0)+IFERROR(P66*1,0)+IFERROR(Q66*1,0))</f>
        <v/>
      </c>
      <c r="AI66" t="str" cm="1">
        <f t="array" ref="AI66">IF(A66="","",IFERROR(INDEX(Listings!A:A,MATCH(TEXT(C66,"MM/DD/YYYY")&amp;G66&amp;U66,Listings!J$2:J$201,0)+1),""))</f>
        <v/>
      </c>
    </row>
    <row r="67" spans="1:35" ht="15" customHeight="1" x14ac:dyDescent="0.35">
      <c r="A67" s="13"/>
      <c r="C67" s="13"/>
      <c r="S67" s="13"/>
      <c r="T67" s="13"/>
      <c r="AF67" s="8" t="str">
        <f t="shared" si="6"/>
        <v/>
      </c>
      <c r="AG67" s="8" t="str">
        <f t="shared" si="7"/>
        <v/>
      </c>
      <c r="AH67" s="8" t="str">
        <f t="shared" si="8"/>
        <v/>
      </c>
      <c r="AI67" t="str" cm="1">
        <f t="array" ref="AI67">IF(A67="","",IFERROR(INDEX(Listings!A:A,MATCH(TEXT(C67,"MM/DD/YYYY")&amp;G67&amp;U67,Listings!J$2:J$201,0)+1),""))</f>
        <v/>
      </c>
    </row>
    <row r="68" spans="1:35" ht="15" customHeight="1" x14ac:dyDescent="0.35">
      <c r="A68" s="13"/>
      <c r="C68" s="13"/>
      <c r="S68" s="13"/>
      <c r="T68" s="13"/>
      <c r="AF68" s="8" t="str">
        <f t="shared" si="6"/>
        <v/>
      </c>
      <c r="AG68" s="8" t="str">
        <f t="shared" si="7"/>
        <v/>
      </c>
      <c r="AH68" s="8" t="str">
        <f t="shared" si="8"/>
        <v/>
      </c>
      <c r="AI68" t="str" cm="1">
        <f t="array" ref="AI68">IF(A68="","",IFERROR(INDEX(Listings!A:A,MATCH(TEXT(C68,"MM/DD/YYYY")&amp;G68&amp;U68,Listings!J$2:J$201,0)+1),""))</f>
        <v/>
      </c>
    </row>
    <row r="69" spans="1:35" ht="15" customHeight="1" x14ac:dyDescent="0.35">
      <c r="A69" s="13"/>
      <c r="C69" s="13"/>
      <c r="S69" s="13"/>
      <c r="T69" s="13"/>
      <c r="AF69" s="8" t="str">
        <f t="shared" si="6"/>
        <v/>
      </c>
      <c r="AG69" s="8" t="str">
        <f t="shared" si="7"/>
        <v/>
      </c>
      <c r="AH69" s="8" t="str">
        <f t="shared" si="8"/>
        <v/>
      </c>
      <c r="AI69" t="str" cm="1">
        <f t="array" ref="AI69">IF(A69="","",IFERROR(INDEX(Listings!A:A,MATCH(TEXT(C69,"MM/DD/YYYY")&amp;G69&amp;U69,Listings!J$2:J$201,0)+1),""))</f>
        <v/>
      </c>
    </row>
    <row r="70" spans="1:35" ht="15" customHeight="1" x14ac:dyDescent="0.35">
      <c r="A70" s="13"/>
      <c r="C70" s="13"/>
      <c r="S70" s="13"/>
      <c r="T70" s="13"/>
      <c r="AF70" s="8" t="str">
        <f t="shared" si="6"/>
        <v/>
      </c>
      <c r="AG70" s="8" t="str">
        <f t="shared" si="7"/>
        <v/>
      </c>
      <c r="AH70" s="8" t="str">
        <f t="shared" si="8"/>
        <v/>
      </c>
      <c r="AI70" t="str" cm="1">
        <f t="array" ref="AI70">IF(A70="","",IFERROR(INDEX(Listings!A:A,MATCH(TEXT(C70,"MM/DD/YYYY")&amp;G70&amp;U70,Listings!J$2:J$201,0)+1),""))</f>
        <v/>
      </c>
    </row>
    <row r="71" spans="1:35" ht="15" customHeight="1" x14ac:dyDescent="0.35">
      <c r="A71" s="13"/>
      <c r="C71" s="13"/>
      <c r="S71" s="13"/>
      <c r="T71" s="13"/>
      <c r="AF71" s="8" t="str">
        <f t="shared" si="6"/>
        <v/>
      </c>
      <c r="AG71" s="8" t="str">
        <f t="shared" si="7"/>
        <v/>
      </c>
      <c r="AH71" s="8" t="str">
        <f t="shared" si="8"/>
        <v/>
      </c>
      <c r="AI71" t="str" cm="1">
        <f t="array" ref="AI71">IF(A71="","",IFERROR(INDEX(Listings!A:A,MATCH(TEXT(C71,"MM/DD/YYYY")&amp;G71&amp;U71,Listings!J$2:J$201,0)+1),""))</f>
        <v/>
      </c>
    </row>
    <row r="72" spans="1:35" ht="15" customHeight="1" x14ac:dyDescent="0.35">
      <c r="A72" s="13"/>
      <c r="C72" s="13"/>
      <c r="S72" s="13"/>
      <c r="T72" s="13"/>
      <c r="AF72" s="8" t="str">
        <f t="shared" si="6"/>
        <v/>
      </c>
      <c r="AG72" s="8" t="str">
        <f t="shared" si="7"/>
        <v/>
      </c>
      <c r="AH72" s="8" t="str">
        <f t="shared" si="8"/>
        <v/>
      </c>
      <c r="AI72" t="str" cm="1">
        <f t="array" ref="AI72">IF(A72="","",IFERROR(INDEX(Listings!A:A,MATCH(TEXT(C72,"MM/DD/YYYY")&amp;G72&amp;U72,Listings!J$2:J$201,0)+1),""))</f>
        <v/>
      </c>
    </row>
    <row r="73" spans="1:35" ht="15" customHeight="1" x14ac:dyDescent="0.35">
      <c r="A73" s="13"/>
      <c r="C73" s="13"/>
      <c r="S73" s="13"/>
      <c r="T73" s="13"/>
      <c r="AF73" s="8" t="str">
        <f t="shared" si="6"/>
        <v/>
      </c>
      <c r="AG73" s="8" t="str">
        <f t="shared" si="7"/>
        <v/>
      </c>
      <c r="AH73" s="8" t="str">
        <f t="shared" si="8"/>
        <v/>
      </c>
      <c r="AI73" t="str" cm="1">
        <f t="array" ref="AI73">IF(A73="","",IFERROR(INDEX(Listings!A:A,MATCH(TEXT(C73,"MM/DD/YYYY")&amp;G73&amp;U73,Listings!J$2:J$201,0)+1),""))</f>
        <v/>
      </c>
    </row>
    <row r="74" spans="1:35" ht="15" customHeight="1" x14ac:dyDescent="0.35">
      <c r="A74" s="13"/>
      <c r="C74" s="13"/>
      <c r="S74" s="13"/>
      <c r="T74" s="13"/>
      <c r="AF74" s="8" t="str">
        <f t="shared" si="6"/>
        <v/>
      </c>
      <c r="AG74" s="8" t="str">
        <f t="shared" si="7"/>
        <v/>
      </c>
      <c r="AH74" s="8" t="str">
        <f t="shared" si="8"/>
        <v/>
      </c>
      <c r="AI74" t="str" cm="1">
        <f t="array" ref="AI74">IF(A74="","",IFERROR(INDEX(Listings!A:A,MATCH(TEXT(C74,"MM/DD/YYYY")&amp;G74&amp;U74,Listings!J$2:J$201,0)+1),""))</f>
        <v/>
      </c>
    </row>
    <row r="75" spans="1:35" ht="15" customHeight="1" x14ac:dyDescent="0.35">
      <c r="A75" s="13"/>
      <c r="C75" s="13"/>
      <c r="S75" s="13"/>
      <c r="T75" s="13"/>
      <c r="AF75" s="8" t="str">
        <f t="shared" si="6"/>
        <v/>
      </c>
      <c r="AG75" s="8" t="str">
        <f t="shared" si="7"/>
        <v/>
      </c>
      <c r="AH75" s="8" t="str">
        <f t="shared" si="8"/>
        <v/>
      </c>
      <c r="AI75" t="str" cm="1">
        <f t="array" ref="AI75">IF(A75="","",IFERROR(INDEX(Listings!A:A,MATCH(TEXT(C75,"MM/DD/YYYY")&amp;G75&amp;U75,Listings!J$2:J$201,0)+1),""))</f>
        <v/>
      </c>
    </row>
    <row r="76" spans="1:35" ht="15" customHeight="1" x14ac:dyDescent="0.35">
      <c r="A76" s="13"/>
      <c r="C76" s="13"/>
      <c r="S76" s="13"/>
      <c r="T76" s="13"/>
      <c r="AF76" s="8" t="str">
        <f t="shared" si="6"/>
        <v/>
      </c>
      <c r="AG76" s="8" t="str">
        <f t="shared" si="7"/>
        <v/>
      </c>
      <c r="AH76" s="8" t="str">
        <f t="shared" si="8"/>
        <v/>
      </c>
      <c r="AI76" t="str" cm="1">
        <f t="array" ref="AI76">IF(A76="","",IFERROR(INDEX(Listings!A:A,MATCH(TEXT(C76,"MM/DD/YYYY")&amp;G76&amp;U76,Listings!J$2:J$201,0)+1),""))</f>
        <v/>
      </c>
    </row>
    <row r="77" spans="1:35" ht="15" customHeight="1" x14ac:dyDescent="0.35">
      <c r="A77" s="13"/>
      <c r="C77" s="13"/>
      <c r="S77" s="13"/>
      <c r="T77" s="13"/>
      <c r="AF77" s="8" t="str">
        <f t="shared" si="6"/>
        <v/>
      </c>
      <c r="AG77" s="8" t="str">
        <f t="shared" si="7"/>
        <v/>
      </c>
      <c r="AH77" s="8" t="str">
        <f t="shared" si="8"/>
        <v/>
      </c>
      <c r="AI77" t="str" cm="1">
        <f t="array" ref="AI77">IF(A77="","",IFERROR(INDEX(Listings!A:A,MATCH(TEXT(C77,"MM/DD/YYYY")&amp;G77&amp;U77,Listings!J$2:J$201,0)+1),""))</f>
        <v/>
      </c>
    </row>
    <row r="78" spans="1:35" ht="15" customHeight="1" x14ac:dyDescent="0.35">
      <c r="A78" s="13"/>
      <c r="C78" s="13"/>
      <c r="S78" s="13"/>
      <c r="T78" s="13"/>
      <c r="AF78" s="8" t="str">
        <f t="shared" si="6"/>
        <v/>
      </c>
      <c r="AG78" s="8" t="str">
        <f t="shared" si="7"/>
        <v/>
      </c>
      <c r="AH78" s="8" t="str">
        <f t="shared" si="8"/>
        <v/>
      </c>
      <c r="AI78" t="str" cm="1">
        <f t="array" ref="AI78">IF(A78="","",IFERROR(INDEX(Listings!A:A,MATCH(TEXT(C78,"MM/DD/YYYY")&amp;G78&amp;U78,Listings!J$2:J$201,0)+1),""))</f>
        <v/>
      </c>
    </row>
    <row r="79" spans="1:35" ht="15" customHeight="1" x14ac:dyDescent="0.35">
      <c r="A79" s="13"/>
      <c r="C79" s="13"/>
      <c r="S79" s="13"/>
      <c r="T79" s="13"/>
      <c r="AF79" s="8" t="str">
        <f t="shared" si="6"/>
        <v/>
      </c>
      <c r="AG79" s="8" t="str">
        <f t="shared" si="7"/>
        <v/>
      </c>
      <c r="AH79" s="8" t="str">
        <f t="shared" si="8"/>
        <v/>
      </c>
      <c r="AI79" t="str" cm="1">
        <f t="array" ref="AI79">IF(A79="","",IFERROR(INDEX(Listings!A:A,MATCH(TEXT(C79,"MM/DD/YYYY")&amp;G79&amp;U79,Listings!J$2:J$201,0)+1),""))</f>
        <v/>
      </c>
    </row>
    <row r="80" spans="1:35" ht="15" customHeight="1" x14ac:dyDescent="0.35">
      <c r="A80" s="13"/>
      <c r="C80" s="13"/>
      <c r="S80" s="13"/>
      <c r="T80" s="13"/>
      <c r="AF80" s="8" t="str">
        <f t="shared" si="6"/>
        <v/>
      </c>
      <c r="AG80" s="8" t="str">
        <f t="shared" si="7"/>
        <v/>
      </c>
      <c r="AH80" s="8" t="str">
        <f t="shared" si="8"/>
        <v/>
      </c>
      <c r="AI80" t="str" cm="1">
        <f t="array" ref="AI80">IF(A80="","",IFERROR(INDEX(Listings!A:A,MATCH(TEXT(C80,"MM/DD/YYYY")&amp;G80&amp;U80,Listings!J$2:J$201,0)+1),""))</f>
        <v/>
      </c>
    </row>
    <row r="81" spans="1:35" ht="15" customHeight="1" x14ac:dyDescent="0.35">
      <c r="A81" s="13"/>
      <c r="C81" s="13"/>
      <c r="S81" s="13"/>
      <c r="T81" s="13"/>
      <c r="AF81" s="8" t="str">
        <f t="shared" si="6"/>
        <v/>
      </c>
      <c r="AG81" s="8" t="str">
        <f t="shared" si="7"/>
        <v/>
      </c>
      <c r="AH81" s="8" t="str">
        <f t="shared" si="8"/>
        <v/>
      </c>
      <c r="AI81" t="str" cm="1">
        <f t="array" ref="AI81">IF(A81="","",IFERROR(INDEX(Listings!A:A,MATCH(TEXT(C81,"MM/DD/YYYY")&amp;G81&amp;U81,Listings!J$2:J$201,0)+1),""))</f>
        <v/>
      </c>
    </row>
    <row r="82" spans="1:35" ht="15" customHeight="1" x14ac:dyDescent="0.35">
      <c r="A82" s="13"/>
      <c r="C82" s="13"/>
      <c r="S82" s="13"/>
      <c r="T82" s="13"/>
      <c r="AF82" s="8" t="str">
        <f t="shared" si="6"/>
        <v/>
      </c>
      <c r="AG82" s="8" t="str">
        <f t="shared" si="7"/>
        <v/>
      </c>
      <c r="AH82" s="8" t="str">
        <f t="shared" si="8"/>
        <v/>
      </c>
      <c r="AI82" t="str" cm="1">
        <f t="array" ref="AI82">IF(A82="","",IFERROR(INDEX(Listings!A:A,MATCH(TEXT(C82,"MM/DD/YYYY")&amp;G82&amp;U82,Listings!J$2:J$201,0)+1),""))</f>
        <v/>
      </c>
    </row>
    <row r="83" spans="1:35" ht="15" customHeight="1" x14ac:dyDescent="0.35">
      <c r="A83" s="13"/>
      <c r="C83" s="13"/>
      <c r="S83" s="13"/>
      <c r="T83" s="13"/>
      <c r="AF83" s="8" t="str">
        <f t="shared" si="6"/>
        <v/>
      </c>
      <c r="AG83" s="8" t="str">
        <f t="shared" si="7"/>
        <v/>
      </c>
      <c r="AH83" s="8" t="str">
        <f t="shared" si="8"/>
        <v/>
      </c>
      <c r="AI83" t="str" cm="1">
        <f t="array" ref="AI83">IF(A83="","",IFERROR(INDEX(Listings!A:A,MATCH(TEXT(C83,"MM/DD/YYYY")&amp;G83&amp;U83,Listings!J$2:J$201,0)+1),""))</f>
        <v/>
      </c>
    </row>
    <row r="84" spans="1:35" ht="15" customHeight="1" x14ac:dyDescent="0.35">
      <c r="A84" s="13"/>
      <c r="C84" s="13"/>
      <c r="S84" s="13"/>
      <c r="T84" s="13"/>
      <c r="AF84" s="8" t="str">
        <f t="shared" si="6"/>
        <v/>
      </c>
      <c r="AG84" s="8" t="str">
        <f t="shared" si="7"/>
        <v/>
      </c>
      <c r="AH84" s="8" t="str">
        <f t="shared" si="8"/>
        <v/>
      </c>
      <c r="AI84" t="str" cm="1">
        <f t="array" ref="AI84">IF(A84="","",IFERROR(INDEX(Listings!A:A,MATCH(TEXT(C84,"MM/DD/YYYY")&amp;G84&amp;U84,Listings!J$2:J$201,0)+1),""))</f>
        <v/>
      </c>
    </row>
    <row r="85" spans="1:35" ht="15" customHeight="1" x14ac:dyDescent="0.35">
      <c r="A85" s="13"/>
      <c r="C85" s="13"/>
      <c r="S85" s="13"/>
      <c r="T85" s="13"/>
      <c r="AF85" s="8" t="str">
        <f t="shared" si="6"/>
        <v/>
      </c>
      <c r="AG85" s="8" t="str">
        <f t="shared" si="7"/>
        <v/>
      </c>
      <c r="AH85" s="8" t="str">
        <f t="shared" si="8"/>
        <v/>
      </c>
      <c r="AI85" t="str" cm="1">
        <f t="array" ref="AI85">IF(A85="","",IFERROR(INDEX(Listings!A:A,MATCH(TEXT(C85,"MM/DD/YYYY")&amp;G85&amp;U85,Listings!J$2:J$201,0)+1),""))</f>
        <v/>
      </c>
    </row>
    <row r="86" spans="1:35" ht="15" customHeight="1" x14ac:dyDescent="0.35">
      <c r="A86" s="13"/>
      <c r="C86" s="13"/>
      <c r="S86" s="13"/>
      <c r="T86" s="13"/>
      <c r="AF86" s="8" t="str">
        <f t="shared" si="6"/>
        <v/>
      </c>
      <c r="AG86" s="8" t="str">
        <f t="shared" si="7"/>
        <v/>
      </c>
      <c r="AH86" s="8" t="str">
        <f t="shared" si="8"/>
        <v/>
      </c>
      <c r="AI86" t="str" cm="1">
        <f t="array" ref="AI86">IF(A86="","",IFERROR(INDEX(Listings!A:A,MATCH(TEXT(C86,"MM/DD/YYYY")&amp;G86&amp;U86,Listings!J$2:J$201,0)+1),""))</f>
        <v/>
      </c>
    </row>
    <row r="87" spans="1:35" ht="15" customHeight="1" x14ac:dyDescent="0.35">
      <c r="A87" s="13"/>
      <c r="C87" s="13"/>
      <c r="S87" s="13"/>
      <c r="T87" s="13"/>
      <c r="AF87" s="8" t="str">
        <f t="shared" si="6"/>
        <v/>
      </c>
      <c r="AG87" s="8" t="str">
        <f t="shared" si="7"/>
        <v/>
      </c>
      <c r="AH87" s="8" t="str">
        <f t="shared" si="8"/>
        <v/>
      </c>
      <c r="AI87" t="str" cm="1">
        <f t="array" ref="AI87">IF(A87="","",IFERROR(INDEX(Listings!A:A,MATCH(TEXT(C87,"MM/DD/YYYY")&amp;G87&amp;U87,Listings!J$2:J$201,0)+1),""))</f>
        <v/>
      </c>
    </row>
    <row r="88" spans="1:35" ht="15" customHeight="1" x14ac:dyDescent="0.35">
      <c r="A88" s="13"/>
      <c r="C88" s="13"/>
      <c r="S88" s="13"/>
      <c r="T88" s="13"/>
      <c r="AF88" s="8" t="str">
        <f t="shared" si="6"/>
        <v/>
      </c>
      <c r="AG88" s="8" t="str">
        <f t="shared" si="7"/>
        <v/>
      </c>
      <c r="AH88" s="8" t="str">
        <f t="shared" si="8"/>
        <v/>
      </c>
      <c r="AI88" t="str" cm="1">
        <f t="array" ref="AI88">IF(A88="","",IFERROR(INDEX(Listings!A:A,MATCH(TEXT(C88,"MM/DD/YYYY")&amp;G88&amp;U88,Listings!J$2:J$201,0)+1),""))</f>
        <v/>
      </c>
    </row>
    <row r="89" spans="1:35" ht="15" customHeight="1" x14ac:dyDescent="0.35">
      <c r="A89" s="13"/>
      <c r="C89" s="13"/>
      <c r="S89" s="13"/>
      <c r="T89" s="13"/>
      <c r="AF89" s="8" t="str">
        <f t="shared" si="6"/>
        <v/>
      </c>
      <c r="AG89" s="8" t="str">
        <f t="shared" si="7"/>
        <v/>
      </c>
      <c r="AH89" s="8" t="str">
        <f t="shared" si="8"/>
        <v/>
      </c>
      <c r="AI89" t="str" cm="1">
        <f t="array" ref="AI89">IF(A89="","",IFERROR(INDEX(Listings!A:A,MATCH(TEXT(C89,"MM/DD/YYYY")&amp;G89&amp;U89,Listings!J$2:J$201,0)+1),""))</f>
        <v/>
      </c>
    </row>
    <row r="90" spans="1:35" ht="15" customHeight="1" x14ac:dyDescent="0.35">
      <c r="A90" s="13"/>
      <c r="C90" s="13"/>
      <c r="S90" s="13"/>
      <c r="T90" s="13"/>
      <c r="AF90" s="8" t="str">
        <f t="shared" si="6"/>
        <v/>
      </c>
      <c r="AG90" s="8" t="str">
        <f t="shared" si="7"/>
        <v/>
      </c>
      <c r="AH90" s="8" t="str">
        <f t="shared" si="8"/>
        <v/>
      </c>
      <c r="AI90" t="str" cm="1">
        <f t="array" ref="AI90">IF(A90="","",IFERROR(INDEX(Listings!A:A,MATCH(TEXT(C90,"MM/DD/YYYY")&amp;G90&amp;U90,Listings!J$2:J$201,0)+1),""))</f>
        <v/>
      </c>
    </row>
    <row r="91" spans="1:35" ht="15" customHeight="1" x14ac:dyDescent="0.35">
      <c r="A91" s="13"/>
      <c r="C91" s="13"/>
      <c r="S91" s="13"/>
      <c r="T91" s="13"/>
      <c r="AF91" s="8" t="str">
        <f t="shared" si="6"/>
        <v/>
      </c>
      <c r="AG91" s="8" t="str">
        <f t="shared" si="7"/>
        <v/>
      </c>
      <c r="AH91" s="8" t="str">
        <f t="shared" si="8"/>
        <v/>
      </c>
      <c r="AI91" t="str" cm="1">
        <f t="array" ref="AI91">IF(A91="","",IFERROR(INDEX(Listings!A:A,MATCH(TEXT(C91,"MM/DD/YYYY")&amp;G91&amp;U91,Listings!J$2:J$201,0)+1),""))</f>
        <v/>
      </c>
    </row>
    <row r="92" spans="1:35" ht="15" customHeight="1" x14ac:dyDescent="0.35">
      <c r="A92" s="13"/>
      <c r="C92" s="13"/>
      <c r="S92" s="13"/>
      <c r="T92" s="13"/>
      <c r="AF92" s="8" t="str">
        <f t="shared" si="6"/>
        <v/>
      </c>
      <c r="AG92" s="8" t="str">
        <f t="shared" si="7"/>
        <v/>
      </c>
      <c r="AH92" s="8" t="str">
        <f t="shared" si="8"/>
        <v/>
      </c>
      <c r="AI92" t="str" cm="1">
        <f t="array" ref="AI92">IF(A92="","",IFERROR(INDEX(Listings!A:A,MATCH(TEXT(C92,"MM/DD/YYYY")&amp;G92&amp;U92,Listings!J$2:J$201,0)+1),""))</f>
        <v/>
      </c>
    </row>
    <row r="93" spans="1:35" ht="15" customHeight="1" x14ac:dyDescent="0.35">
      <c r="A93" s="13"/>
      <c r="C93" s="13"/>
      <c r="S93" s="13"/>
      <c r="T93" s="13"/>
      <c r="AF93" s="8" t="str">
        <f t="shared" si="6"/>
        <v/>
      </c>
      <c r="AG93" s="8" t="str">
        <f t="shared" si="7"/>
        <v/>
      </c>
      <c r="AH93" s="8" t="str">
        <f t="shared" si="8"/>
        <v/>
      </c>
      <c r="AI93" t="str" cm="1">
        <f t="array" ref="AI93">IF(A93="","",IFERROR(INDEX(Listings!A:A,MATCH(TEXT(C93,"MM/DD/YYYY")&amp;G93&amp;U93,Listings!J$2:J$201,0)+1),""))</f>
        <v/>
      </c>
    </row>
    <row r="94" spans="1:35" ht="15" customHeight="1" x14ac:dyDescent="0.35">
      <c r="A94" s="13"/>
      <c r="C94" s="13"/>
      <c r="S94" s="13"/>
      <c r="T94" s="13"/>
      <c r="AF94" s="8" t="str">
        <f t="shared" si="6"/>
        <v/>
      </c>
      <c r="AG94" s="8" t="str">
        <f t="shared" si="7"/>
        <v/>
      </c>
      <c r="AH94" s="8" t="str">
        <f t="shared" si="8"/>
        <v/>
      </c>
      <c r="AI94" t="str" cm="1">
        <f t="array" ref="AI94">IF(A94="","",IFERROR(INDEX(Listings!A:A,MATCH(TEXT(C94,"MM/DD/YYYY")&amp;G94&amp;U94,Listings!J$2:J$201,0)+1),""))</f>
        <v/>
      </c>
    </row>
    <row r="95" spans="1:35" ht="15" customHeight="1" x14ac:dyDescent="0.35">
      <c r="A95" s="13"/>
      <c r="C95" s="13"/>
      <c r="S95" s="13"/>
      <c r="T95" s="13"/>
      <c r="AF95" s="8" t="str">
        <f t="shared" si="6"/>
        <v/>
      </c>
      <c r="AG95" s="8" t="str">
        <f t="shared" si="7"/>
        <v/>
      </c>
      <c r="AH95" s="8" t="str">
        <f t="shared" si="8"/>
        <v/>
      </c>
      <c r="AI95" t="str" cm="1">
        <f t="array" ref="AI95">IF(A95="","",IFERROR(INDEX(Listings!A:A,MATCH(TEXT(C95,"MM/DD/YYYY")&amp;G95&amp;U95,Listings!J$2:J$201,0)+1),""))</f>
        <v/>
      </c>
    </row>
    <row r="96" spans="1:35" ht="15" customHeight="1" x14ac:dyDescent="0.35">
      <c r="A96" s="13"/>
      <c r="C96" s="13"/>
      <c r="S96" s="13"/>
      <c r="T96" s="13"/>
      <c r="AF96" s="8" t="str">
        <f t="shared" si="6"/>
        <v/>
      </c>
      <c r="AG96" s="8" t="str">
        <f t="shared" si="7"/>
        <v/>
      </c>
      <c r="AH96" s="8" t="str">
        <f t="shared" si="8"/>
        <v/>
      </c>
      <c r="AI96" t="str" cm="1">
        <f t="array" ref="AI96">IF(A96="","",IFERROR(INDEX(Listings!A:A,MATCH(TEXT(C96,"MM/DD/YYYY")&amp;G96&amp;U96,Listings!J$2:J$201,0)+1),""))</f>
        <v/>
      </c>
    </row>
    <row r="97" spans="1:35" ht="15" customHeight="1" x14ac:dyDescent="0.35">
      <c r="A97" s="13"/>
      <c r="C97" s="13"/>
      <c r="S97" s="13"/>
      <c r="T97" s="13"/>
      <c r="AF97" s="8" t="str">
        <f t="shared" si="6"/>
        <v/>
      </c>
      <c r="AG97" s="8" t="str">
        <f t="shared" si="7"/>
        <v/>
      </c>
      <c r="AH97" s="8" t="str">
        <f t="shared" si="8"/>
        <v/>
      </c>
      <c r="AI97" t="str" cm="1">
        <f t="array" ref="AI97">IF(A97="","",IFERROR(INDEX(Listings!A:A,MATCH(TEXT(C97,"MM/DD/YYYY")&amp;G97&amp;U97,Listings!J$2:J$201,0)+1),""))</f>
        <v/>
      </c>
    </row>
    <row r="98" spans="1:35" ht="15" customHeight="1" x14ac:dyDescent="0.35">
      <c r="A98" s="13"/>
      <c r="C98" s="13"/>
      <c r="S98" s="13"/>
      <c r="T98" s="13"/>
      <c r="AF98" s="8" t="str">
        <f t="shared" ref="AF98:AF129" si="9">IF(OR(A98="",C98=""),"",A98-C98)</f>
        <v/>
      </c>
      <c r="AG98" s="8" t="str">
        <f t="shared" ref="AG98:AG129" si="10">IF(A98="","",IF(D98="No",IFERROR(K98*1,0),IF(D98="Yes",IFERROR(K98/E98,0),"")))</f>
        <v/>
      </c>
      <c r="AH98" s="8" t="str">
        <f t="shared" ref="AH98:AH129" si="11">IF(A98="","",IFERROR(N98*1,0)+IFERROR(O98*1,0)+IFERROR(P98*1,0)+IFERROR(Q98*1,0))</f>
        <v/>
      </c>
      <c r="AI98" t="str" cm="1">
        <f t="array" ref="AI98">IF(A98="","",IFERROR(INDEX(Listings!A:A,MATCH(TEXT(C98,"MM/DD/YYYY")&amp;G98&amp;U98,Listings!J$2:J$201,0)+1),""))</f>
        <v/>
      </c>
    </row>
    <row r="99" spans="1:35" ht="15" customHeight="1" x14ac:dyDescent="0.35">
      <c r="A99" s="13"/>
      <c r="C99" s="13"/>
      <c r="S99" s="13"/>
      <c r="T99" s="13"/>
      <c r="AF99" s="8" t="str">
        <f t="shared" si="9"/>
        <v/>
      </c>
      <c r="AG99" s="8" t="str">
        <f t="shared" si="10"/>
        <v/>
      </c>
      <c r="AH99" s="8" t="str">
        <f t="shared" si="11"/>
        <v/>
      </c>
      <c r="AI99" t="str" cm="1">
        <f t="array" ref="AI99">IF(A99="","",IFERROR(INDEX(Listings!A:A,MATCH(TEXT(C99,"MM/DD/YYYY")&amp;G99&amp;U99,Listings!J$2:J$201,0)+1),""))</f>
        <v/>
      </c>
    </row>
    <row r="100" spans="1:35" ht="15" customHeight="1" x14ac:dyDescent="0.35">
      <c r="A100" s="13"/>
      <c r="C100" s="13"/>
      <c r="S100" s="13"/>
      <c r="T100" s="13"/>
      <c r="AF100" s="8" t="str">
        <f t="shared" si="9"/>
        <v/>
      </c>
      <c r="AG100" s="8" t="str">
        <f t="shared" si="10"/>
        <v/>
      </c>
      <c r="AH100" s="8" t="str">
        <f t="shared" si="11"/>
        <v/>
      </c>
      <c r="AI100" t="str" cm="1">
        <f t="array" ref="AI100">IF(A100="","",IFERROR(INDEX(Listings!A:A,MATCH(TEXT(C100,"MM/DD/YYYY")&amp;G100&amp;U100,Listings!J$2:J$201,0)+1),""))</f>
        <v/>
      </c>
    </row>
    <row r="101" spans="1:35" ht="15" customHeight="1" x14ac:dyDescent="0.35">
      <c r="A101" s="13"/>
      <c r="C101" s="13"/>
      <c r="S101" s="13"/>
      <c r="T101" s="13"/>
      <c r="AF101" s="8" t="str">
        <f t="shared" si="9"/>
        <v/>
      </c>
      <c r="AG101" s="8" t="str">
        <f t="shared" si="10"/>
        <v/>
      </c>
      <c r="AH101" s="8" t="str">
        <f t="shared" si="11"/>
        <v/>
      </c>
      <c r="AI101" t="str" cm="1">
        <f t="array" ref="AI101">IF(A101="","",IFERROR(INDEX(Listings!A:A,MATCH(TEXT(C101,"MM/DD/YYYY")&amp;G101&amp;U101,Listings!J$2:J$201,0)+1),""))</f>
        <v/>
      </c>
    </row>
    <row r="102" spans="1:35" ht="15" customHeight="1" x14ac:dyDescent="0.35">
      <c r="A102" s="13"/>
      <c r="C102" s="13"/>
      <c r="S102" s="13"/>
      <c r="T102" s="13"/>
      <c r="AF102" s="8" t="str">
        <f t="shared" si="9"/>
        <v/>
      </c>
      <c r="AG102" s="8" t="str">
        <f t="shared" si="10"/>
        <v/>
      </c>
      <c r="AH102" s="8" t="str">
        <f t="shared" si="11"/>
        <v/>
      </c>
      <c r="AI102" t="str" cm="1">
        <f t="array" ref="AI102">IF(A102="","",IFERROR(INDEX(Listings!A:A,MATCH(TEXT(C102,"MM/DD/YYYY")&amp;G102&amp;U102,Listings!J$2:J$201,0)+1),""))</f>
        <v/>
      </c>
    </row>
    <row r="103" spans="1:35" ht="15" customHeight="1" x14ac:dyDescent="0.35">
      <c r="A103" s="13"/>
      <c r="C103" s="13"/>
      <c r="S103" s="13"/>
      <c r="T103" s="13"/>
      <c r="AF103" s="8" t="str">
        <f t="shared" si="9"/>
        <v/>
      </c>
      <c r="AG103" s="8" t="str">
        <f t="shared" si="10"/>
        <v/>
      </c>
      <c r="AH103" s="8" t="str">
        <f t="shared" si="11"/>
        <v/>
      </c>
      <c r="AI103" t="str" cm="1">
        <f t="array" ref="AI103">IF(A103="","",IFERROR(INDEX(Listings!A:A,MATCH(TEXT(C103,"MM/DD/YYYY")&amp;G103&amp;U103,Listings!J$2:J$201,0)+1),""))</f>
        <v/>
      </c>
    </row>
    <row r="104" spans="1:35" ht="15" customHeight="1" x14ac:dyDescent="0.35">
      <c r="A104" s="13"/>
      <c r="C104" s="13"/>
      <c r="S104" s="13"/>
      <c r="T104" s="13"/>
      <c r="AF104" s="8" t="str">
        <f t="shared" si="9"/>
        <v/>
      </c>
      <c r="AG104" s="8" t="str">
        <f t="shared" si="10"/>
        <v/>
      </c>
      <c r="AH104" s="8" t="str">
        <f t="shared" si="11"/>
        <v/>
      </c>
      <c r="AI104" t="str" cm="1">
        <f t="array" ref="AI104">IF(A104="","",IFERROR(INDEX(Listings!A:A,MATCH(TEXT(C104,"MM/DD/YYYY")&amp;G104&amp;U104,Listings!J$2:J$201,0)+1),""))</f>
        <v/>
      </c>
    </row>
    <row r="105" spans="1:35" ht="15" customHeight="1" x14ac:dyDescent="0.35">
      <c r="A105" s="13"/>
      <c r="C105" s="13"/>
      <c r="S105" s="13"/>
      <c r="T105" s="13"/>
      <c r="AF105" s="8" t="str">
        <f t="shared" si="9"/>
        <v/>
      </c>
      <c r="AG105" s="8" t="str">
        <f t="shared" si="10"/>
        <v/>
      </c>
      <c r="AH105" s="8" t="str">
        <f t="shared" si="11"/>
        <v/>
      </c>
      <c r="AI105" t="str" cm="1">
        <f t="array" ref="AI105">IF(A105="","",IFERROR(INDEX(Listings!A:A,MATCH(TEXT(C105,"MM/DD/YYYY")&amp;G105&amp;U105,Listings!J$2:J$201,0)+1),""))</f>
        <v/>
      </c>
    </row>
    <row r="106" spans="1:35" ht="15" customHeight="1" x14ac:dyDescent="0.35">
      <c r="A106" s="13"/>
      <c r="C106" s="13"/>
      <c r="S106" s="13"/>
      <c r="T106" s="13"/>
      <c r="AF106" s="8" t="str">
        <f t="shared" si="9"/>
        <v/>
      </c>
      <c r="AG106" s="8" t="str">
        <f t="shared" si="10"/>
        <v/>
      </c>
      <c r="AH106" s="8" t="str">
        <f t="shared" si="11"/>
        <v/>
      </c>
      <c r="AI106" t="str" cm="1">
        <f t="array" ref="AI106">IF(A106="","",IFERROR(INDEX(Listings!A:A,MATCH(TEXT(C106,"MM/DD/YYYY")&amp;G106&amp;U106,Listings!J$2:J$201,0)+1),""))</f>
        <v/>
      </c>
    </row>
    <row r="107" spans="1:35" ht="15" customHeight="1" x14ac:dyDescent="0.35">
      <c r="A107" s="13"/>
      <c r="C107" s="13"/>
      <c r="S107" s="13"/>
      <c r="T107" s="13"/>
      <c r="AF107" s="8" t="str">
        <f t="shared" si="9"/>
        <v/>
      </c>
      <c r="AG107" s="8" t="str">
        <f t="shared" si="10"/>
        <v/>
      </c>
      <c r="AH107" s="8" t="str">
        <f t="shared" si="11"/>
        <v/>
      </c>
      <c r="AI107" t="str" cm="1">
        <f t="array" ref="AI107">IF(A107="","",IFERROR(INDEX(Listings!A:A,MATCH(TEXT(C107,"MM/DD/YYYY")&amp;G107&amp;U107,Listings!J$2:J$201,0)+1),""))</f>
        <v/>
      </c>
    </row>
    <row r="108" spans="1:35" ht="15" customHeight="1" x14ac:dyDescent="0.35">
      <c r="A108" s="13"/>
      <c r="C108" s="13"/>
      <c r="S108" s="13"/>
      <c r="T108" s="13"/>
      <c r="AF108" s="8" t="str">
        <f t="shared" si="9"/>
        <v/>
      </c>
      <c r="AG108" s="8" t="str">
        <f t="shared" si="10"/>
        <v/>
      </c>
      <c r="AH108" s="8" t="str">
        <f t="shared" si="11"/>
        <v/>
      </c>
      <c r="AI108" t="str" cm="1">
        <f t="array" ref="AI108">IF(A108="","",IFERROR(INDEX(Listings!A:A,MATCH(TEXT(C108,"MM/DD/YYYY")&amp;G108&amp;U108,Listings!J$2:J$201,0)+1),""))</f>
        <v/>
      </c>
    </row>
    <row r="109" spans="1:35" ht="15" customHeight="1" x14ac:dyDescent="0.35">
      <c r="A109" s="13"/>
      <c r="C109" s="13"/>
      <c r="S109" s="13"/>
      <c r="T109" s="13"/>
      <c r="AF109" s="8" t="str">
        <f t="shared" si="9"/>
        <v/>
      </c>
      <c r="AG109" s="8" t="str">
        <f t="shared" si="10"/>
        <v/>
      </c>
      <c r="AH109" s="8" t="str">
        <f t="shared" si="11"/>
        <v/>
      </c>
      <c r="AI109" t="str" cm="1">
        <f t="array" ref="AI109">IF(A109="","",IFERROR(INDEX(Listings!A:A,MATCH(TEXT(C109,"MM/DD/YYYY")&amp;G109&amp;U109,Listings!J$2:J$201,0)+1),""))</f>
        <v/>
      </c>
    </row>
    <row r="110" spans="1:35" ht="15" customHeight="1" x14ac:dyDescent="0.35">
      <c r="A110" s="13"/>
      <c r="C110" s="13"/>
      <c r="S110" s="13"/>
      <c r="T110" s="13"/>
      <c r="AF110" s="8" t="str">
        <f t="shared" si="9"/>
        <v/>
      </c>
      <c r="AG110" s="8" t="str">
        <f t="shared" si="10"/>
        <v/>
      </c>
      <c r="AH110" s="8" t="str">
        <f t="shared" si="11"/>
        <v/>
      </c>
      <c r="AI110" t="str" cm="1">
        <f t="array" ref="AI110">IF(A110="","",IFERROR(INDEX(Listings!A:A,MATCH(TEXT(C110,"MM/DD/YYYY")&amp;G110&amp;U110,Listings!J$2:J$201,0)+1),""))</f>
        <v/>
      </c>
    </row>
    <row r="111" spans="1:35" ht="15" customHeight="1" x14ac:dyDescent="0.35">
      <c r="A111" s="13"/>
      <c r="C111" s="13"/>
      <c r="S111" s="13"/>
      <c r="T111" s="13"/>
      <c r="AF111" s="8" t="str">
        <f t="shared" si="9"/>
        <v/>
      </c>
      <c r="AG111" s="8" t="str">
        <f t="shared" si="10"/>
        <v/>
      </c>
      <c r="AH111" s="8" t="str">
        <f t="shared" si="11"/>
        <v/>
      </c>
      <c r="AI111" t="str" cm="1">
        <f t="array" ref="AI111">IF(A111="","",IFERROR(INDEX(Listings!A:A,MATCH(TEXT(C111,"MM/DD/YYYY")&amp;G111&amp;U111,Listings!J$2:J$201,0)+1),""))</f>
        <v/>
      </c>
    </row>
    <row r="112" spans="1:35" ht="15" customHeight="1" x14ac:dyDescent="0.35">
      <c r="A112" s="13"/>
      <c r="C112" s="13"/>
      <c r="S112" s="13"/>
      <c r="T112" s="13"/>
      <c r="AF112" s="8" t="str">
        <f t="shared" si="9"/>
        <v/>
      </c>
      <c r="AG112" s="8" t="str">
        <f t="shared" si="10"/>
        <v/>
      </c>
      <c r="AH112" s="8" t="str">
        <f t="shared" si="11"/>
        <v/>
      </c>
      <c r="AI112" t="str" cm="1">
        <f t="array" ref="AI112">IF(A112="","",IFERROR(INDEX(Listings!A:A,MATCH(TEXT(C112,"MM/DD/YYYY")&amp;G112&amp;U112,Listings!J$2:J$201,0)+1),""))</f>
        <v/>
      </c>
    </row>
    <row r="113" spans="1:35" ht="15" customHeight="1" x14ac:dyDescent="0.35">
      <c r="A113" s="13"/>
      <c r="C113" s="13"/>
      <c r="S113" s="13"/>
      <c r="T113" s="13"/>
      <c r="AF113" s="8" t="str">
        <f t="shared" si="9"/>
        <v/>
      </c>
      <c r="AG113" s="8" t="str">
        <f t="shared" si="10"/>
        <v/>
      </c>
      <c r="AH113" s="8" t="str">
        <f t="shared" si="11"/>
        <v/>
      </c>
      <c r="AI113" t="str" cm="1">
        <f t="array" ref="AI113">IF(A113="","",IFERROR(INDEX(Listings!A:A,MATCH(TEXT(C113,"MM/DD/YYYY")&amp;G113&amp;U113,Listings!J$2:J$201,0)+1),""))</f>
        <v/>
      </c>
    </row>
    <row r="114" spans="1:35" ht="15" customHeight="1" x14ac:dyDescent="0.35">
      <c r="A114" s="13"/>
      <c r="C114" s="13"/>
      <c r="S114" s="13"/>
      <c r="T114" s="13"/>
      <c r="AF114" s="8" t="str">
        <f t="shared" si="9"/>
        <v/>
      </c>
      <c r="AG114" s="8" t="str">
        <f t="shared" si="10"/>
        <v/>
      </c>
      <c r="AH114" s="8" t="str">
        <f t="shared" si="11"/>
        <v/>
      </c>
      <c r="AI114" t="str" cm="1">
        <f t="array" ref="AI114">IF(A114="","",IFERROR(INDEX(Listings!A:A,MATCH(TEXT(C114,"MM/DD/YYYY")&amp;G114&amp;U114,Listings!J$2:J$201,0)+1),""))</f>
        <v/>
      </c>
    </row>
    <row r="115" spans="1:35" ht="15" customHeight="1" x14ac:dyDescent="0.35">
      <c r="A115" s="13"/>
      <c r="C115" s="13"/>
      <c r="S115" s="13"/>
      <c r="T115" s="13"/>
      <c r="AF115" s="8" t="str">
        <f t="shared" si="9"/>
        <v/>
      </c>
      <c r="AG115" s="8" t="str">
        <f t="shared" si="10"/>
        <v/>
      </c>
      <c r="AH115" s="8" t="str">
        <f t="shared" si="11"/>
        <v/>
      </c>
      <c r="AI115" t="str" cm="1">
        <f t="array" ref="AI115">IF(A115="","",IFERROR(INDEX(Listings!A:A,MATCH(TEXT(C115,"MM/DD/YYYY")&amp;G115&amp;U115,Listings!J$2:J$201,0)+1),""))</f>
        <v/>
      </c>
    </row>
    <row r="116" spans="1:35" ht="15" customHeight="1" x14ac:dyDescent="0.35">
      <c r="A116" s="13"/>
      <c r="C116" s="13"/>
      <c r="S116" s="13"/>
      <c r="T116" s="13"/>
      <c r="AF116" s="8" t="str">
        <f t="shared" si="9"/>
        <v/>
      </c>
      <c r="AG116" s="8" t="str">
        <f t="shared" si="10"/>
        <v/>
      </c>
      <c r="AH116" s="8" t="str">
        <f t="shared" si="11"/>
        <v/>
      </c>
      <c r="AI116" t="str" cm="1">
        <f t="array" ref="AI116">IF(A116="","",IFERROR(INDEX(Listings!A:A,MATCH(TEXT(C116,"MM/DD/YYYY")&amp;G116&amp;U116,Listings!J$2:J$201,0)+1),""))</f>
        <v/>
      </c>
    </row>
    <row r="117" spans="1:35" ht="15" customHeight="1" x14ac:dyDescent="0.35">
      <c r="A117" s="13"/>
      <c r="C117" s="13"/>
      <c r="S117" s="13"/>
      <c r="T117" s="13"/>
      <c r="AF117" s="8" t="str">
        <f t="shared" si="9"/>
        <v/>
      </c>
      <c r="AG117" s="8" t="str">
        <f t="shared" si="10"/>
        <v/>
      </c>
      <c r="AH117" s="8" t="str">
        <f t="shared" si="11"/>
        <v/>
      </c>
      <c r="AI117" t="str" cm="1">
        <f t="array" ref="AI117">IF(A117="","",IFERROR(INDEX(Listings!A:A,MATCH(TEXT(C117,"MM/DD/YYYY")&amp;G117&amp;U117,Listings!J$2:J$201,0)+1),""))</f>
        <v/>
      </c>
    </row>
    <row r="118" spans="1:35" ht="15" customHeight="1" x14ac:dyDescent="0.35">
      <c r="A118" s="13"/>
      <c r="C118" s="13"/>
      <c r="S118" s="13"/>
      <c r="T118" s="13"/>
      <c r="AF118" s="8" t="str">
        <f t="shared" si="9"/>
        <v/>
      </c>
      <c r="AG118" s="8" t="str">
        <f t="shared" si="10"/>
        <v/>
      </c>
      <c r="AH118" s="8" t="str">
        <f t="shared" si="11"/>
        <v/>
      </c>
      <c r="AI118" t="str" cm="1">
        <f t="array" ref="AI118">IF(A118="","",IFERROR(INDEX(Listings!A:A,MATCH(TEXT(C118,"MM/DD/YYYY")&amp;G118&amp;U118,Listings!J$2:J$201,0)+1),""))</f>
        <v/>
      </c>
    </row>
    <row r="119" spans="1:35" ht="15" customHeight="1" x14ac:dyDescent="0.35">
      <c r="A119" s="13"/>
      <c r="C119" s="13"/>
      <c r="S119" s="13"/>
      <c r="T119" s="13"/>
      <c r="AF119" s="8" t="str">
        <f t="shared" si="9"/>
        <v/>
      </c>
      <c r="AG119" s="8" t="str">
        <f t="shared" si="10"/>
        <v/>
      </c>
      <c r="AH119" s="8" t="str">
        <f t="shared" si="11"/>
        <v/>
      </c>
      <c r="AI119" t="str" cm="1">
        <f t="array" ref="AI119">IF(A119="","",IFERROR(INDEX(Listings!A:A,MATCH(TEXT(C119,"MM/DD/YYYY")&amp;G119&amp;U119,Listings!J$2:J$201,0)+1),""))</f>
        <v/>
      </c>
    </row>
    <row r="120" spans="1:35" ht="15" customHeight="1" x14ac:dyDescent="0.35">
      <c r="A120" s="13"/>
      <c r="C120" s="13"/>
      <c r="S120" s="13"/>
      <c r="T120" s="13"/>
      <c r="AF120" s="8" t="str">
        <f t="shared" si="9"/>
        <v/>
      </c>
      <c r="AG120" s="8" t="str">
        <f t="shared" si="10"/>
        <v/>
      </c>
      <c r="AH120" s="8" t="str">
        <f t="shared" si="11"/>
        <v/>
      </c>
      <c r="AI120" t="str" cm="1">
        <f t="array" ref="AI120">IF(A120="","",IFERROR(INDEX(Listings!A:A,MATCH(TEXT(C120,"MM/DD/YYYY")&amp;G120&amp;U120,Listings!J$2:J$201,0)+1),""))</f>
        <v/>
      </c>
    </row>
    <row r="121" spans="1:35" ht="15" customHeight="1" x14ac:dyDescent="0.35">
      <c r="A121" s="13"/>
      <c r="C121" s="13"/>
      <c r="S121" s="13"/>
      <c r="T121" s="13"/>
      <c r="AF121" s="8" t="str">
        <f t="shared" si="9"/>
        <v/>
      </c>
      <c r="AG121" s="8" t="str">
        <f t="shared" si="10"/>
        <v/>
      </c>
      <c r="AH121" s="8" t="str">
        <f t="shared" si="11"/>
        <v/>
      </c>
      <c r="AI121" t="str" cm="1">
        <f t="array" ref="AI121">IF(A121="","",IFERROR(INDEX(Listings!A:A,MATCH(TEXT(C121,"MM/DD/YYYY")&amp;G121&amp;U121,Listings!J$2:J$201,0)+1),""))</f>
        <v/>
      </c>
    </row>
    <row r="122" spans="1:35" ht="15" customHeight="1" x14ac:dyDescent="0.35">
      <c r="A122" s="13"/>
      <c r="C122" s="13"/>
      <c r="S122" s="13"/>
      <c r="T122" s="13"/>
      <c r="AF122" s="8" t="str">
        <f t="shared" si="9"/>
        <v/>
      </c>
      <c r="AG122" s="8" t="str">
        <f t="shared" si="10"/>
        <v/>
      </c>
      <c r="AH122" s="8" t="str">
        <f t="shared" si="11"/>
        <v/>
      </c>
      <c r="AI122" t="str" cm="1">
        <f t="array" ref="AI122">IF(A122="","",IFERROR(INDEX(Listings!A:A,MATCH(TEXT(C122,"MM/DD/YYYY")&amp;G122&amp;U122,Listings!J$2:J$201,0)+1),""))</f>
        <v/>
      </c>
    </row>
    <row r="123" spans="1:35" ht="15" customHeight="1" x14ac:dyDescent="0.35">
      <c r="A123" s="13"/>
      <c r="C123" s="13"/>
      <c r="S123" s="13"/>
      <c r="T123" s="13"/>
      <c r="AF123" s="8" t="str">
        <f t="shared" si="9"/>
        <v/>
      </c>
      <c r="AG123" s="8" t="str">
        <f t="shared" si="10"/>
        <v/>
      </c>
      <c r="AH123" s="8" t="str">
        <f t="shared" si="11"/>
        <v/>
      </c>
      <c r="AI123" t="str" cm="1">
        <f t="array" ref="AI123">IF(A123="","",IFERROR(INDEX(Listings!A:A,MATCH(TEXT(C123,"MM/DD/YYYY")&amp;G123&amp;U123,Listings!J$2:J$201,0)+1),""))</f>
        <v/>
      </c>
    </row>
    <row r="124" spans="1:35" ht="15" customHeight="1" x14ac:dyDescent="0.35">
      <c r="A124" s="13"/>
      <c r="C124" s="13"/>
      <c r="S124" s="13"/>
      <c r="T124" s="13"/>
      <c r="AF124" s="8" t="str">
        <f t="shared" si="9"/>
        <v/>
      </c>
      <c r="AG124" s="8" t="str">
        <f t="shared" si="10"/>
        <v/>
      </c>
      <c r="AH124" s="8" t="str">
        <f t="shared" si="11"/>
        <v/>
      </c>
      <c r="AI124" t="str" cm="1">
        <f t="array" ref="AI124">IF(A124="","",IFERROR(INDEX(Listings!A:A,MATCH(TEXT(C124,"MM/DD/YYYY")&amp;G124&amp;U124,Listings!J$2:J$201,0)+1),""))</f>
        <v/>
      </c>
    </row>
    <row r="125" spans="1:35" ht="15" customHeight="1" x14ac:dyDescent="0.35">
      <c r="A125" s="13"/>
      <c r="C125" s="13"/>
      <c r="S125" s="13"/>
      <c r="T125" s="13"/>
      <c r="AF125" s="8" t="str">
        <f t="shared" si="9"/>
        <v/>
      </c>
      <c r="AG125" s="8" t="str">
        <f t="shared" si="10"/>
        <v/>
      </c>
      <c r="AH125" s="8" t="str">
        <f t="shared" si="11"/>
        <v/>
      </c>
      <c r="AI125" t="str" cm="1">
        <f t="array" ref="AI125">IF(A125="","",IFERROR(INDEX(Listings!A:A,MATCH(TEXT(C125,"MM/DD/YYYY")&amp;G125&amp;U125,Listings!J$2:J$201,0)+1),""))</f>
        <v/>
      </c>
    </row>
    <row r="126" spans="1:35" ht="15" customHeight="1" x14ac:dyDescent="0.35">
      <c r="A126" s="13"/>
      <c r="C126" s="13"/>
      <c r="S126" s="13"/>
      <c r="T126" s="13"/>
      <c r="AF126" s="8" t="str">
        <f t="shared" si="9"/>
        <v/>
      </c>
      <c r="AG126" s="8" t="str">
        <f t="shared" si="10"/>
        <v/>
      </c>
      <c r="AH126" s="8" t="str">
        <f t="shared" si="11"/>
        <v/>
      </c>
      <c r="AI126" t="str" cm="1">
        <f t="array" ref="AI126">IF(A126="","",IFERROR(INDEX(Listings!A:A,MATCH(TEXT(C126,"MM/DD/YYYY")&amp;G126&amp;U126,Listings!J$2:J$201,0)+1),""))</f>
        <v/>
      </c>
    </row>
    <row r="127" spans="1:35" ht="15" customHeight="1" x14ac:dyDescent="0.35">
      <c r="A127" s="13"/>
      <c r="C127" s="13"/>
      <c r="S127" s="13"/>
      <c r="T127" s="13"/>
      <c r="AF127" s="8" t="str">
        <f t="shared" si="9"/>
        <v/>
      </c>
      <c r="AG127" s="8" t="str">
        <f t="shared" si="10"/>
        <v/>
      </c>
      <c r="AH127" s="8" t="str">
        <f t="shared" si="11"/>
        <v/>
      </c>
      <c r="AI127" t="str" cm="1">
        <f t="array" ref="AI127">IF(A127="","",IFERROR(INDEX(Listings!A:A,MATCH(TEXT(C127,"MM/DD/YYYY")&amp;G127&amp;U127,Listings!J$2:J$201,0)+1),""))</f>
        <v/>
      </c>
    </row>
    <row r="128" spans="1:35" ht="15" customHeight="1" x14ac:dyDescent="0.35">
      <c r="A128" s="13"/>
      <c r="C128" s="13"/>
      <c r="S128" s="13"/>
      <c r="T128" s="13"/>
      <c r="AF128" s="8" t="str">
        <f t="shared" si="9"/>
        <v/>
      </c>
      <c r="AG128" s="8" t="str">
        <f t="shared" si="10"/>
        <v/>
      </c>
      <c r="AH128" s="8" t="str">
        <f t="shared" si="11"/>
        <v/>
      </c>
      <c r="AI128" t="str" cm="1">
        <f t="array" ref="AI128">IF(A128="","",IFERROR(INDEX(Listings!A:A,MATCH(TEXT(C128,"MM/DD/YYYY")&amp;G128&amp;U128,Listings!J$2:J$201,0)+1),""))</f>
        <v/>
      </c>
    </row>
    <row r="129" spans="1:35" ht="15" customHeight="1" x14ac:dyDescent="0.35">
      <c r="A129" s="13"/>
      <c r="C129" s="13"/>
      <c r="S129" s="13"/>
      <c r="T129" s="13"/>
      <c r="AF129" s="8" t="str">
        <f t="shared" si="9"/>
        <v/>
      </c>
      <c r="AG129" s="8" t="str">
        <f t="shared" si="10"/>
        <v/>
      </c>
      <c r="AH129" s="8" t="str">
        <f t="shared" si="11"/>
        <v/>
      </c>
      <c r="AI129" t="str" cm="1">
        <f t="array" ref="AI129">IF(A129="","",IFERROR(INDEX(Listings!A:A,MATCH(TEXT(C129,"MM/DD/YYYY")&amp;G129&amp;U129,Listings!J$2:J$201,0)+1),""))</f>
        <v/>
      </c>
    </row>
    <row r="130" spans="1:35" ht="15" customHeight="1" x14ac:dyDescent="0.35">
      <c r="A130" s="13"/>
      <c r="C130" s="13"/>
      <c r="S130" s="13"/>
      <c r="T130" s="13"/>
      <c r="AF130" s="8" t="str">
        <f t="shared" ref="AF130:AF161" si="12">IF(OR(A130="",C130=""),"",A130-C130)</f>
        <v/>
      </c>
      <c r="AG130" s="8" t="str">
        <f t="shared" ref="AG130:AG161" si="13">IF(A130="","",IF(D130="No",IFERROR(K130*1,0),IF(D130="Yes",IFERROR(K130/E130,0),"")))</f>
        <v/>
      </c>
      <c r="AH130" s="8" t="str">
        <f t="shared" ref="AH130:AH161" si="14">IF(A130="","",IFERROR(N130*1,0)+IFERROR(O130*1,0)+IFERROR(P130*1,0)+IFERROR(Q130*1,0))</f>
        <v/>
      </c>
      <c r="AI130" t="str" cm="1">
        <f t="array" ref="AI130">IF(A130="","",IFERROR(INDEX(Listings!A:A,MATCH(TEXT(C130,"MM/DD/YYYY")&amp;G130&amp;U130,Listings!J$2:J$201,0)+1),""))</f>
        <v/>
      </c>
    </row>
    <row r="131" spans="1:35" ht="15" customHeight="1" x14ac:dyDescent="0.35">
      <c r="A131" s="13"/>
      <c r="C131" s="13"/>
      <c r="S131" s="13"/>
      <c r="T131" s="13"/>
      <c r="AF131" s="8" t="str">
        <f t="shared" si="12"/>
        <v/>
      </c>
      <c r="AG131" s="8" t="str">
        <f t="shared" si="13"/>
        <v/>
      </c>
      <c r="AH131" s="8" t="str">
        <f t="shared" si="14"/>
        <v/>
      </c>
      <c r="AI131" t="str" cm="1">
        <f t="array" ref="AI131">IF(A131="","",IFERROR(INDEX(Listings!A:A,MATCH(TEXT(C131,"MM/DD/YYYY")&amp;G131&amp;U131,Listings!J$2:J$201,0)+1),""))</f>
        <v/>
      </c>
    </row>
    <row r="132" spans="1:35" ht="15" customHeight="1" x14ac:dyDescent="0.35">
      <c r="A132" s="13"/>
      <c r="C132" s="13"/>
      <c r="S132" s="13"/>
      <c r="T132" s="13"/>
      <c r="AF132" s="8" t="str">
        <f t="shared" si="12"/>
        <v/>
      </c>
      <c r="AG132" s="8" t="str">
        <f t="shared" si="13"/>
        <v/>
      </c>
      <c r="AH132" s="8" t="str">
        <f t="shared" si="14"/>
        <v/>
      </c>
      <c r="AI132" t="str" cm="1">
        <f t="array" ref="AI132">IF(A132="","",IFERROR(INDEX(Listings!A:A,MATCH(TEXT(C132,"MM/DD/YYYY")&amp;G132&amp;U132,Listings!J$2:J$201,0)+1),""))</f>
        <v/>
      </c>
    </row>
    <row r="133" spans="1:35" ht="15" customHeight="1" x14ac:dyDescent="0.35">
      <c r="A133" s="13"/>
      <c r="C133" s="13"/>
      <c r="S133" s="13"/>
      <c r="T133" s="13"/>
      <c r="AF133" s="8" t="str">
        <f t="shared" si="12"/>
        <v/>
      </c>
      <c r="AG133" s="8" t="str">
        <f t="shared" si="13"/>
        <v/>
      </c>
      <c r="AH133" s="8" t="str">
        <f t="shared" si="14"/>
        <v/>
      </c>
      <c r="AI133" t="str" cm="1">
        <f t="array" ref="AI133">IF(A133="","",IFERROR(INDEX(Listings!A:A,MATCH(TEXT(C133,"MM/DD/YYYY")&amp;G133&amp;U133,Listings!J$2:J$201,0)+1),""))</f>
        <v/>
      </c>
    </row>
    <row r="134" spans="1:35" ht="15" customHeight="1" x14ac:dyDescent="0.35">
      <c r="A134" s="13"/>
      <c r="C134" s="13"/>
      <c r="S134" s="13"/>
      <c r="T134" s="13"/>
      <c r="AF134" s="8" t="str">
        <f t="shared" si="12"/>
        <v/>
      </c>
      <c r="AG134" s="8" t="str">
        <f t="shared" si="13"/>
        <v/>
      </c>
      <c r="AH134" s="8" t="str">
        <f t="shared" si="14"/>
        <v/>
      </c>
      <c r="AI134" t="str" cm="1">
        <f t="array" ref="AI134">IF(A134="","",IFERROR(INDEX(Listings!A:A,MATCH(TEXT(C134,"MM/DD/YYYY")&amp;G134&amp;U134,Listings!J$2:J$201,0)+1),""))</f>
        <v/>
      </c>
    </row>
    <row r="135" spans="1:35" ht="15" customHeight="1" x14ac:dyDescent="0.35">
      <c r="A135" s="13"/>
      <c r="C135" s="13"/>
      <c r="S135" s="13"/>
      <c r="T135" s="13"/>
      <c r="AF135" s="8" t="str">
        <f t="shared" si="12"/>
        <v/>
      </c>
      <c r="AG135" s="8" t="str">
        <f t="shared" si="13"/>
        <v/>
      </c>
      <c r="AH135" s="8" t="str">
        <f t="shared" si="14"/>
        <v/>
      </c>
      <c r="AI135" t="str" cm="1">
        <f t="array" ref="AI135">IF(A135="","",IFERROR(INDEX(Listings!A:A,MATCH(TEXT(C135,"MM/DD/YYYY")&amp;G135&amp;U135,Listings!J$2:J$201,0)+1),""))</f>
        <v/>
      </c>
    </row>
    <row r="136" spans="1:35" ht="15" customHeight="1" x14ac:dyDescent="0.35">
      <c r="A136" s="13"/>
      <c r="C136" s="13"/>
      <c r="S136" s="13"/>
      <c r="T136" s="13"/>
      <c r="AF136" s="8" t="str">
        <f t="shared" si="12"/>
        <v/>
      </c>
      <c r="AG136" s="8" t="str">
        <f t="shared" si="13"/>
        <v/>
      </c>
      <c r="AH136" s="8" t="str">
        <f t="shared" si="14"/>
        <v/>
      </c>
      <c r="AI136" t="str" cm="1">
        <f t="array" ref="AI136">IF(A136="","",IFERROR(INDEX(Listings!A:A,MATCH(TEXT(C136,"MM/DD/YYYY")&amp;G136&amp;U136,Listings!J$2:J$201,0)+1),""))</f>
        <v/>
      </c>
    </row>
    <row r="137" spans="1:35" ht="15" customHeight="1" x14ac:dyDescent="0.35">
      <c r="A137" s="13"/>
      <c r="C137" s="13"/>
      <c r="S137" s="13"/>
      <c r="T137" s="13"/>
      <c r="AF137" s="8" t="str">
        <f t="shared" si="12"/>
        <v/>
      </c>
      <c r="AG137" s="8" t="str">
        <f t="shared" si="13"/>
        <v/>
      </c>
      <c r="AH137" s="8" t="str">
        <f t="shared" si="14"/>
        <v/>
      </c>
      <c r="AI137" t="str" cm="1">
        <f t="array" ref="AI137">IF(A137="","",IFERROR(INDEX(Listings!A:A,MATCH(TEXT(C137,"MM/DD/YYYY")&amp;G137&amp;U137,Listings!J$2:J$201,0)+1),""))</f>
        <v/>
      </c>
    </row>
    <row r="138" spans="1:35" ht="15" customHeight="1" x14ac:dyDescent="0.35">
      <c r="A138" s="13"/>
      <c r="C138" s="13"/>
      <c r="S138" s="13"/>
      <c r="T138" s="13"/>
      <c r="AF138" s="8" t="str">
        <f t="shared" si="12"/>
        <v/>
      </c>
      <c r="AG138" s="8" t="str">
        <f t="shared" si="13"/>
        <v/>
      </c>
      <c r="AH138" s="8" t="str">
        <f t="shared" si="14"/>
        <v/>
      </c>
      <c r="AI138" t="str" cm="1">
        <f t="array" ref="AI138">IF(A138="","",IFERROR(INDEX(Listings!A:A,MATCH(TEXT(C138,"MM/DD/YYYY")&amp;G138&amp;U138,Listings!J$2:J$201,0)+1),""))</f>
        <v/>
      </c>
    </row>
    <row r="139" spans="1:35" ht="15" customHeight="1" x14ac:dyDescent="0.35">
      <c r="A139" s="13"/>
      <c r="C139" s="13"/>
      <c r="S139" s="13"/>
      <c r="T139" s="13"/>
      <c r="AF139" s="8" t="str">
        <f t="shared" si="12"/>
        <v/>
      </c>
      <c r="AG139" s="8" t="str">
        <f t="shared" si="13"/>
        <v/>
      </c>
      <c r="AH139" s="8" t="str">
        <f t="shared" si="14"/>
        <v/>
      </c>
      <c r="AI139" t="str" cm="1">
        <f t="array" ref="AI139">IF(A139="","",IFERROR(INDEX(Listings!A:A,MATCH(TEXT(C139,"MM/DD/YYYY")&amp;G139&amp;U139,Listings!J$2:J$201,0)+1),""))</f>
        <v/>
      </c>
    </row>
    <row r="140" spans="1:35" ht="15" customHeight="1" x14ac:dyDescent="0.35">
      <c r="A140" s="13"/>
      <c r="C140" s="13"/>
      <c r="S140" s="13"/>
      <c r="T140" s="13"/>
      <c r="AF140" s="8" t="str">
        <f t="shared" si="12"/>
        <v/>
      </c>
      <c r="AG140" s="8" t="str">
        <f t="shared" si="13"/>
        <v/>
      </c>
      <c r="AH140" s="8" t="str">
        <f t="shared" si="14"/>
        <v/>
      </c>
      <c r="AI140" t="str" cm="1">
        <f t="array" ref="AI140">IF(A140="","",IFERROR(INDEX(Listings!A:A,MATCH(TEXT(C140,"MM/DD/YYYY")&amp;G140&amp;U140,Listings!J$2:J$201,0)+1),""))</f>
        <v/>
      </c>
    </row>
    <row r="141" spans="1:35" ht="15" customHeight="1" x14ac:dyDescent="0.35">
      <c r="A141" s="13"/>
      <c r="C141" s="13"/>
      <c r="S141" s="13"/>
      <c r="T141" s="13"/>
      <c r="AF141" s="8" t="str">
        <f t="shared" si="12"/>
        <v/>
      </c>
      <c r="AG141" s="8" t="str">
        <f t="shared" si="13"/>
        <v/>
      </c>
      <c r="AH141" s="8" t="str">
        <f t="shared" si="14"/>
        <v/>
      </c>
      <c r="AI141" t="str" cm="1">
        <f t="array" ref="AI141">IF(A141="","",IFERROR(INDEX(Listings!A:A,MATCH(TEXT(C141,"MM/DD/YYYY")&amp;G141&amp;U141,Listings!J$2:J$201,0)+1),""))</f>
        <v/>
      </c>
    </row>
    <row r="142" spans="1:35" ht="15" customHeight="1" x14ac:dyDescent="0.35">
      <c r="A142" s="13"/>
      <c r="C142" s="13"/>
      <c r="S142" s="13"/>
      <c r="T142" s="13"/>
      <c r="AF142" s="8" t="str">
        <f t="shared" si="12"/>
        <v/>
      </c>
      <c r="AG142" s="8" t="str">
        <f t="shared" si="13"/>
        <v/>
      </c>
      <c r="AH142" s="8" t="str">
        <f t="shared" si="14"/>
        <v/>
      </c>
      <c r="AI142" t="str" cm="1">
        <f t="array" ref="AI142">IF(A142="","",IFERROR(INDEX(Listings!A:A,MATCH(TEXT(C142,"MM/DD/YYYY")&amp;G142&amp;U142,Listings!J$2:J$201,0)+1),""))</f>
        <v/>
      </c>
    </row>
    <row r="143" spans="1:35" ht="15" customHeight="1" x14ac:dyDescent="0.35">
      <c r="A143" s="13"/>
      <c r="C143" s="13"/>
      <c r="S143" s="13"/>
      <c r="T143" s="13"/>
      <c r="AF143" s="8" t="str">
        <f t="shared" si="12"/>
        <v/>
      </c>
      <c r="AG143" s="8" t="str">
        <f t="shared" si="13"/>
        <v/>
      </c>
      <c r="AH143" s="8" t="str">
        <f t="shared" si="14"/>
        <v/>
      </c>
      <c r="AI143" t="str" cm="1">
        <f t="array" ref="AI143">IF(A143="","",IFERROR(INDEX(Listings!A:A,MATCH(TEXT(C143,"MM/DD/YYYY")&amp;G143&amp;U143,Listings!J$2:J$201,0)+1),""))</f>
        <v/>
      </c>
    </row>
    <row r="144" spans="1:35" ht="15" customHeight="1" x14ac:dyDescent="0.35">
      <c r="A144" s="13"/>
      <c r="C144" s="13"/>
      <c r="S144" s="13"/>
      <c r="T144" s="13"/>
      <c r="AF144" s="8" t="str">
        <f t="shared" si="12"/>
        <v/>
      </c>
      <c r="AG144" s="8" t="str">
        <f t="shared" si="13"/>
        <v/>
      </c>
      <c r="AH144" s="8" t="str">
        <f t="shared" si="14"/>
        <v/>
      </c>
      <c r="AI144" t="str" cm="1">
        <f t="array" ref="AI144">IF(A144="","",IFERROR(INDEX(Listings!A:A,MATCH(TEXT(C144,"MM/DD/YYYY")&amp;G144&amp;U144,Listings!J$2:J$201,0)+1),""))</f>
        <v/>
      </c>
    </row>
    <row r="145" spans="1:35" ht="15" customHeight="1" x14ac:dyDescent="0.35">
      <c r="A145" s="13"/>
      <c r="C145" s="13"/>
      <c r="S145" s="13"/>
      <c r="T145" s="13"/>
      <c r="AF145" s="8" t="str">
        <f t="shared" si="12"/>
        <v/>
      </c>
      <c r="AG145" s="8" t="str">
        <f t="shared" si="13"/>
        <v/>
      </c>
      <c r="AH145" s="8" t="str">
        <f t="shared" si="14"/>
        <v/>
      </c>
      <c r="AI145" t="str" cm="1">
        <f t="array" ref="AI145">IF(A145="","",IFERROR(INDEX(Listings!A:A,MATCH(TEXT(C145,"MM/DD/YYYY")&amp;G145&amp;U145,Listings!J$2:J$201,0)+1),""))</f>
        <v/>
      </c>
    </row>
    <row r="146" spans="1:35" ht="15" customHeight="1" x14ac:dyDescent="0.35">
      <c r="A146" s="13"/>
      <c r="C146" s="13"/>
      <c r="S146" s="13"/>
      <c r="T146" s="13"/>
      <c r="AF146" s="8" t="str">
        <f t="shared" si="12"/>
        <v/>
      </c>
      <c r="AG146" s="8" t="str">
        <f t="shared" si="13"/>
        <v/>
      </c>
      <c r="AH146" s="8" t="str">
        <f t="shared" si="14"/>
        <v/>
      </c>
      <c r="AI146" t="str" cm="1">
        <f t="array" ref="AI146">IF(A146="","",IFERROR(INDEX(Listings!A:A,MATCH(TEXT(C146,"MM/DD/YYYY")&amp;G146&amp;U146,Listings!J$2:J$201,0)+1),""))</f>
        <v/>
      </c>
    </row>
    <row r="147" spans="1:35" ht="15" customHeight="1" x14ac:dyDescent="0.35">
      <c r="A147" s="13"/>
      <c r="C147" s="13"/>
      <c r="S147" s="13"/>
      <c r="T147" s="13"/>
      <c r="AF147" s="8" t="str">
        <f t="shared" si="12"/>
        <v/>
      </c>
      <c r="AG147" s="8" t="str">
        <f t="shared" si="13"/>
        <v/>
      </c>
      <c r="AH147" s="8" t="str">
        <f t="shared" si="14"/>
        <v/>
      </c>
      <c r="AI147" t="str" cm="1">
        <f t="array" ref="AI147">IF(A147="","",IFERROR(INDEX(Listings!A:A,MATCH(TEXT(C147,"MM/DD/YYYY")&amp;G147&amp;U147,Listings!J$2:J$201,0)+1),""))</f>
        <v/>
      </c>
    </row>
    <row r="148" spans="1:35" ht="15" customHeight="1" x14ac:dyDescent="0.35">
      <c r="A148" s="13"/>
      <c r="C148" s="13"/>
      <c r="S148" s="13"/>
      <c r="T148" s="13"/>
      <c r="AF148" s="8" t="str">
        <f t="shared" si="12"/>
        <v/>
      </c>
      <c r="AG148" s="8" t="str">
        <f t="shared" si="13"/>
        <v/>
      </c>
      <c r="AH148" s="8" t="str">
        <f t="shared" si="14"/>
        <v/>
      </c>
      <c r="AI148" t="str" cm="1">
        <f t="array" ref="AI148">IF(A148="","",IFERROR(INDEX(Listings!A:A,MATCH(TEXT(C148,"MM/DD/YYYY")&amp;G148&amp;U148,Listings!J$2:J$201,0)+1),""))</f>
        <v/>
      </c>
    </row>
    <row r="149" spans="1:35" ht="15" customHeight="1" x14ac:dyDescent="0.35">
      <c r="A149" s="13"/>
      <c r="C149" s="13"/>
      <c r="S149" s="13"/>
      <c r="T149" s="13"/>
      <c r="AF149" s="8" t="str">
        <f t="shared" si="12"/>
        <v/>
      </c>
      <c r="AG149" s="8" t="str">
        <f t="shared" si="13"/>
        <v/>
      </c>
      <c r="AH149" s="8" t="str">
        <f t="shared" si="14"/>
        <v/>
      </c>
      <c r="AI149" t="str" cm="1">
        <f t="array" ref="AI149">IF(A149="","",IFERROR(INDEX(Listings!A:A,MATCH(TEXT(C149,"MM/DD/YYYY")&amp;G149&amp;U149,Listings!J$2:J$201,0)+1),""))</f>
        <v/>
      </c>
    </row>
    <row r="150" spans="1:35" ht="15" customHeight="1" x14ac:dyDescent="0.35">
      <c r="A150" s="13"/>
      <c r="C150" s="13"/>
      <c r="S150" s="13"/>
      <c r="T150" s="13"/>
      <c r="AF150" s="8" t="str">
        <f t="shared" si="12"/>
        <v/>
      </c>
      <c r="AG150" s="8" t="str">
        <f t="shared" si="13"/>
        <v/>
      </c>
      <c r="AH150" s="8" t="str">
        <f t="shared" si="14"/>
        <v/>
      </c>
      <c r="AI150" t="str" cm="1">
        <f t="array" ref="AI150">IF(A150="","",IFERROR(INDEX(Listings!A:A,MATCH(TEXT(C150,"MM/DD/YYYY")&amp;G150&amp;U150,Listings!J$2:J$201,0)+1),""))</f>
        <v/>
      </c>
    </row>
    <row r="151" spans="1:35" ht="15" customHeight="1" x14ac:dyDescent="0.35">
      <c r="A151" s="13"/>
      <c r="C151" s="13"/>
      <c r="S151" s="13"/>
      <c r="T151" s="13"/>
      <c r="AF151" s="8" t="str">
        <f t="shared" si="12"/>
        <v/>
      </c>
      <c r="AG151" s="8" t="str">
        <f t="shared" si="13"/>
        <v/>
      </c>
      <c r="AH151" s="8" t="str">
        <f t="shared" si="14"/>
        <v/>
      </c>
      <c r="AI151" t="str" cm="1">
        <f t="array" ref="AI151">IF(A151="","",IFERROR(INDEX(Listings!A:A,MATCH(TEXT(C151,"MM/DD/YYYY")&amp;G151&amp;U151,Listings!J$2:J$201,0)+1),""))</f>
        <v/>
      </c>
    </row>
    <row r="152" spans="1:35" ht="15" customHeight="1" x14ac:dyDescent="0.35">
      <c r="A152" s="13"/>
      <c r="C152" s="13"/>
      <c r="S152" s="13"/>
      <c r="T152" s="13"/>
      <c r="AF152" s="8" t="str">
        <f t="shared" si="12"/>
        <v/>
      </c>
      <c r="AG152" s="8" t="str">
        <f t="shared" si="13"/>
        <v/>
      </c>
      <c r="AH152" s="8" t="str">
        <f t="shared" si="14"/>
        <v/>
      </c>
      <c r="AI152" t="str" cm="1">
        <f t="array" ref="AI152">IF(A152="","",IFERROR(INDEX(Listings!A:A,MATCH(TEXT(C152,"MM/DD/YYYY")&amp;G152&amp;U152,Listings!J$2:J$201,0)+1),""))</f>
        <v/>
      </c>
    </row>
    <row r="153" spans="1:35" ht="15" customHeight="1" x14ac:dyDescent="0.35">
      <c r="A153" s="13"/>
      <c r="C153" s="13"/>
      <c r="S153" s="13"/>
      <c r="T153" s="13"/>
      <c r="AF153" s="8" t="str">
        <f t="shared" si="12"/>
        <v/>
      </c>
      <c r="AG153" s="8" t="str">
        <f t="shared" si="13"/>
        <v/>
      </c>
      <c r="AH153" s="8" t="str">
        <f t="shared" si="14"/>
        <v/>
      </c>
      <c r="AI153" t="str" cm="1">
        <f t="array" ref="AI153">IF(A153="","",IFERROR(INDEX(Listings!A:A,MATCH(TEXT(C153,"MM/DD/YYYY")&amp;G153&amp;U153,Listings!J$2:J$201,0)+1),""))</f>
        <v/>
      </c>
    </row>
    <row r="154" spans="1:35" ht="15" customHeight="1" x14ac:dyDescent="0.35">
      <c r="A154" s="13"/>
      <c r="C154" s="13"/>
      <c r="S154" s="13"/>
      <c r="T154" s="13"/>
      <c r="AF154" s="8" t="str">
        <f t="shared" si="12"/>
        <v/>
      </c>
      <c r="AG154" s="8" t="str">
        <f t="shared" si="13"/>
        <v/>
      </c>
      <c r="AH154" s="8" t="str">
        <f t="shared" si="14"/>
        <v/>
      </c>
      <c r="AI154" t="str" cm="1">
        <f t="array" ref="AI154">IF(A154="","",IFERROR(INDEX(Listings!A:A,MATCH(TEXT(C154,"MM/DD/YYYY")&amp;G154&amp;U154,Listings!J$2:J$201,0)+1),""))</f>
        <v/>
      </c>
    </row>
    <row r="155" spans="1:35" ht="15" customHeight="1" x14ac:dyDescent="0.35">
      <c r="A155" s="13"/>
      <c r="C155" s="13"/>
      <c r="S155" s="13"/>
      <c r="T155" s="13"/>
      <c r="AF155" s="8" t="str">
        <f t="shared" si="12"/>
        <v/>
      </c>
      <c r="AG155" s="8" t="str">
        <f t="shared" si="13"/>
        <v/>
      </c>
      <c r="AH155" s="8" t="str">
        <f t="shared" si="14"/>
        <v/>
      </c>
      <c r="AI155" t="str" cm="1">
        <f t="array" ref="AI155">IF(A155="","",IFERROR(INDEX(Listings!A:A,MATCH(TEXT(C155,"MM/DD/YYYY")&amp;G155&amp;U155,Listings!J$2:J$201,0)+1),""))</f>
        <v/>
      </c>
    </row>
    <row r="156" spans="1:35" ht="15" customHeight="1" x14ac:dyDescent="0.35">
      <c r="A156" s="13"/>
      <c r="C156" s="13"/>
      <c r="S156" s="13"/>
      <c r="T156" s="13"/>
      <c r="AF156" s="8" t="str">
        <f t="shared" si="12"/>
        <v/>
      </c>
      <c r="AG156" s="8" t="str">
        <f t="shared" si="13"/>
        <v/>
      </c>
      <c r="AH156" s="8" t="str">
        <f t="shared" si="14"/>
        <v/>
      </c>
      <c r="AI156" t="str" cm="1">
        <f t="array" ref="AI156">IF(A156="","",IFERROR(INDEX(Listings!A:A,MATCH(TEXT(C156,"MM/DD/YYYY")&amp;G156&amp;U156,Listings!J$2:J$201,0)+1),""))</f>
        <v/>
      </c>
    </row>
    <row r="157" spans="1:35" ht="15" customHeight="1" x14ac:dyDescent="0.35">
      <c r="A157" s="13"/>
      <c r="C157" s="13"/>
      <c r="S157" s="13"/>
      <c r="T157" s="13"/>
      <c r="AF157" s="8" t="str">
        <f t="shared" si="12"/>
        <v/>
      </c>
      <c r="AG157" s="8" t="str">
        <f t="shared" si="13"/>
        <v/>
      </c>
      <c r="AH157" s="8" t="str">
        <f t="shared" si="14"/>
        <v/>
      </c>
      <c r="AI157" t="str" cm="1">
        <f t="array" ref="AI157">IF(A157="","",IFERROR(INDEX(Listings!A:A,MATCH(TEXT(C157,"MM/DD/YYYY")&amp;G157&amp;U157,Listings!J$2:J$201,0)+1),""))</f>
        <v/>
      </c>
    </row>
    <row r="158" spans="1:35" ht="15" customHeight="1" x14ac:dyDescent="0.35">
      <c r="A158" s="13"/>
      <c r="C158" s="13"/>
      <c r="S158" s="13"/>
      <c r="T158" s="13"/>
      <c r="AF158" s="8" t="str">
        <f t="shared" si="12"/>
        <v/>
      </c>
      <c r="AG158" s="8" t="str">
        <f t="shared" si="13"/>
        <v/>
      </c>
      <c r="AH158" s="8" t="str">
        <f t="shared" si="14"/>
        <v/>
      </c>
      <c r="AI158" t="str" cm="1">
        <f t="array" ref="AI158">IF(A158="","",IFERROR(INDEX(Listings!A:A,MATCH(TEXT(C158,"MM/DD/YYYY")&amp;G158&amp;U158,Listings!J$2:J$201,0)+1),""))</f>
        <v/>
      </c>
    </row>
    <row r="159" spans="1:35" ht="15" customHeight="1" x14ac:dyDescent="0.35">
      <c r="A159" s="13"/>
      <c r="C159" s="13"/>
      <c r="S159" s="13"/>
      <c r="T159" s="13"/>
      <c r="AF159" s="8" t="str">
        <f t="shared" si="12"/>
        <v/>
      </c>
      <c r="AG159" s="8" t="str">
        <f t="shared" si="13"/>
        <v/>
      </c>
      <c r="AH159" s="8" t="str">
        <f t="shared" si="14"/>
        <v/>
      </c>
      <c r="AI159" t="str" cm="1">
        <f t="array" ref="AI159">IF(A159="","",IFERROR(INDEX(Listings!A:A,MATCH(TEXT(C159,"MM/DD/YYYY")&amp;G159&amp;U159,Listings!J$2:J$201,0)+1),""))</f>
        <v/>
      </c>
    </row>
    <row r="160" spans="1:35" ht="15" customHeight="1" x14ac:dyDescent="0.35">
      <c r="A160" s="13"/>
      <c r="C160" s="13"/>
      <c r="S160" s="13"/>
      <c r="T160" s="13"/>
      <c r="AF160" s="8" t="str">
        <f t="shared" si="12"/>
        <v/>
      </c>
      <c r="AG160" s="8" t="str">
        <f t="shared" si="13"/>
        <v/>
      </c>
      <c r="AH160" s="8" t="str">
        <f t="shared" si="14"/>
        <v/>
      </c>
      <c r="AI160" t="str" cm="1">
        <f t="array" ref="AI160">IF(A160="","",IFERROR(INDEX(Listings!A:A,MATCH(TEXT(C160,"MM/DD/YYYY")&amp;G160&amp;U160,Listings!J$2:J$201,0)+1),""))</f>
        <v/>
      </c>
    </row>
    <row r="161" spans="1:35" ht="15" customHeight="1" x14ac:dyDescent="0.35">
      <c r="A161" s="13"/>
      <c r="C161" s="13"/>
      <c r="S161" s="13"/>
      <c r="T161" s="13"/>
      <c r="AF161" s="8" t="str">
        <f t="shared" si="12"/>
        <v/>
      </c>
      <c r="AG161" s="8" t="str">
        <f t="shared" si="13"/>
        <v/>
      </c>
      <c r="AH161" s="8" t="str">
        <f t="shared" si="14"/>
        <v/>
      </c>
      <c r="AI161" t="str" cm="1">
        <f t="array" ref="AI161">IF(A161="","",IFERROR(INDEX(Listings!A:A,MATCH(TEXT(C161,"MM/DD/YYYY")&amp;G161&amp;U161,Listings!J$2:J$201,0)+1),""))</f>
        <v/>
      </c>
    </row>
    <row r="162" spans="1:35" ht="15" customHeight="1" x14ac:dyDescent="0.35">
      <c r="A162" s="13"/>
      <c r="C162" s="13"/>
      <c r="S162" s="13"/>
      <c r="T162" s="13"/>
      <c r="AF162" s="8" t="str">
        <f t="shared" ref="AF162:AF188" si="15">IF(OR(A162="",C162=""),"",A162-C162)</f>
        <v/>
      </c>
      <c r="AG162" s="8" t="str">
        <f t="shared" ref="AG162:AG189" si="16">IF(A162="","",IF(D162="No",IFERROR(K162*1,0),IF(D162="Yes",IFERROR(K162/E162,0),"")))</f>
        <v/>
      </c>
      <c r="AH162" s="8" t="str">
        <f t="shared" ref="AH162:AH189" si="17">IF(A162="","",IFERROR(N162*1,0)+IFERROR(O162*1,0)+IFERROR(P162*1,0)+IFERROR(Q162*1,0))</f>
        <v/>
      </c>
      <c r="AI162" t="str" cm="1">
        <f t="array" ref="AI162">IF(A162="","",IFERROR(INDEX(Listings!A:A,MATCH(TEXT(C162,"MM/DD/YYYY")&amp;G162&amp;U162,Listings!J$2:J$201,0)+1),""))</f>
        <v/>
      </c>
    </row>
    <row r="163" spans="1:35" ht="15" customHeight="1" x14ac:dyDescent="0.35">
      <c r="A163" s="13"/>
      <c r="C163" s="13"/>
      <c r="S163" s="13"/>
      <c r="T163" s="13"/>
      <c r="AF163" s="8" t="str">
        <f t="shared" si="15"/>
        <v/>
      </c>
      <c r="AG163" s="8" t="str">
        <f t="shared" si="16"/>
        <v/>
      </c>
      <c r="AH163" s="8" t="str">
        <f t="shared" si="17"/>
        <v/>
      </c>
      <c r="AI163" t="str" cm="1">
        <f t="array" ref="AI163">IF(A163="","",IFERROR(INDEX(Listings!A:A,MATCH(TEXT(C163,"MM/DD/YYYY")&amp;G163&amp;U163,Listings!J$2:J$201,0)+1),""))</f>
        <v/>
      </c>
    </row>
    <row r="164" spans="1:35" ht="15" customHeight="1" x14ac:dyDescent="0.35">
      <c r="A164" s="13"/>
      <c r="C164" s="13"/>
      <c r="S164" s="13"/>
      <c r="T164" s="13"/>
      <c r="AF164" s="8" t="str">
        <f t="shared" si="15"/>
        <v/>
      </c>
      <c r="AG164" s="8" t="str">
        <f t="shared" si="16"/>
        <v/>
      </c>
      <c r="AH164" s="8" t="str">
        <f t="shared" si="17"/>
        <v/>
      </c>
      <c r="AI164" t="str" cm="1">
        <f t="array" ref="AI164">IF(A164="","",IFERROR(INDEX(Listings!A:A,MATCH(TEXT(C164,"MM/DD/YYYY")&amp;G164&amp;U164,Listings!J$2:J$201,0)+1),""))</f>
        <v/>
      </c>
    </row>
    <row r="165" spans="1:35" ht="15" customHeight="1" x14ac:dyDescent="0.35">
      <c r="A165" s="13"/>
      <c r="C165" s="13"/>
      <c r="S165" s="13"/>
      <c r="T165" s="13"/>
      <c r="AF165" s="8" t="str">
        <f t="shared" si="15"/>
        <v/>
      </c>
      <c r="AG165" s="8" t="str">
        <f t="shared" si="16"/>
        <v/>
      </c>
      <c r="AH165" s="8" t="str">
        <f t="shared" si="17"/>
        <v/>
      </c>
      <c r="AI165" t="str" cm="1">
        <f t="array" ref="AI165">IF(A165="","",IFERROR(INDEX(Listings!A:A,MATCH(TEXT(C165,"MM/DD/YYYY")&amp;G165&amp;U165,Listings!J$2:J$201,0)+1),""))</f>
        <v/>
      </c>
    </row>
    <row r="166" spans="1:35" ht="20.5" customHeight="1" x14ac:dyDescent="0.35">
      <c r="A166" s="13"/>
      <c r="C166" s="13"/>
      <c r="S166" s="13"/>
      <c r="T166" s="13"/>
      <c r="AF166" s="14" t="str">
        <f t="shared" si="15"/>
        <v/>
      </c>
      <c r="AG166" s="8" t="str">
        <f t="shared" si="16"/>
        <v/>
      </c>
      <c r="AH166" s="14" t="str">
        <f t="shared" si="17"/>
        <v/>
      </c>
      <c r="AI166" t="str" cm="1">
        <f t="array" ref="AI166">IF(A166="","",IFERROR(INDEX(Listings!A:A,MATCH(TEXT(C166,"MM/DD/YYYY")&amp;G166&amp;U166,Listings!J$2:J$201,0)+1),""))</f>
        <v/>
      </c>
    </row>
    <row r="167" spans="1:35" ht="20.5" customHeight="1" x14ac:dyDescent="0.35">
      <c r="A167" s="13"/>
      <c r="C167" s="13"/>
      <c r="S167" s="13"/>
      <c r="T167" s="13"/>
      <c r="AF167" s="14" t="str">
        <f t="shared" si="15"/>
        <v/>
      </c>
      <c r="AG167" s="8" t="str">
        <f t="shared" si="16"/>
        <v/>
      </c>
      <c r="AH167" s="14" t="str">
        <f t="shared" si="17"/>
        <v/>
      </c>
      <c r="AI167" t="str" cm="1">
        <f t="array" ref="AI167">IF(A167="","",IFERROR(INDEX(Listings!A:A,MATCH(TEXT(C167,"MM/DD/YYYY")&amp;G167&amp;U167,Listings!J$2:J$201,0)+1),""))</f>
        <v/>
      </c>
    </row>
    <row r="168" spans="1:35" ht="20.5" customHeight="1" x14ac:dyDescent="0.35">
      <c r="A168" s="13"/>
      <c r="C168" s="13"/>
      <c r="S168" s="13"/>
      <c r="T168" s="13"/>
      <c r="AF168" s="14" t="str">
        <f t="shared" si="15"/>
        <v/>
      </c>
      <c r="AG168" s="8" t="str">
        <f t="shared" si="16"/>
        <v/>
      </c>
      <c r="AH168" s="14" t="str">
        <f t="shared" si="17"/>
        <v/>
      </c>
      <c r="AI168" t="str" cm="1">
        <f t="array" ref="AI168">IF(A168="","",IFERROR(INDEX(Listings!A:A,MATCH(TEXT(C168,"MM/DD/YYYY")&amp;G168&amp;U168,Listings!J$2:J$201,0)+1),""))</f>
        <v/>
      </c>
    </row>
    <row r="169" spans="1:35" ht="20.5" customHeight="1" x14ac:dyDescent="0.35">
      <c r="A169" s="13"/>
      <c r="C169" s="13"/>
      <c r="S169" s="13"/>
      <c r="T169" s="13"/>
      <c r="AF169" s="14" t="str">
        <f t="shared" si="15"/>
        <v/>
      </c>
      <c r="AG169" s="8" t="str">
        <f t="shared" si="16"/>
        <v/>
      </c>
      <c r="AH169" s="14" t="str">
        <f t="shared" si="17"/>
        <v/>
      </c>
      <c r="AI169" t="str" cm="1">
        <f t="array" ref="AI169">IF(A169="","",IFERROR(INDEX(Listings!A:A,MATCH(TEXT(C169,"MM/DD/YYYY")&amp;G169&amp;U169,Listings!J$2:J$201,0)+1),""))</f>
        <v/>
      </c>
    </row>
    <row r="170" spans="1:35" ht="20.5" customHeight="1" x14ac:dyDescent="0.35">
      <c r="A170" s="13"/>
      <c r="C170" s="13"/>
      <c r="S170" s="13"/>
      <c r="T170" s="13"/>
      <c r="AF170" s="14" t="str">
        <f t="shared" si="15"/>
        <v/>
      </c>
      <c r="AG170" s="8" t="str">
        <f t="shared" si="16"/>
        <v/>
      </c>
      <c r="AH170" s="14" t="str">
        <f t="shared" si="17"/>
        <v/>
      </c>
      <c r="AI170" t="str" cm="1">
        <f t="array" ref="AI170">IF(A170="","",IFERROR(INDEX(Listings!A:A,MATCH(TEXT(C170,"MM/DD/YYYY")&amp;G170&amp;U170,Listings!J$2:J$201,0)+1),""))</f>
        <v/>
      </c>
    </row>
    <row r="171" spans="1:35" ht="20.5" customHeight="1" x14ac:dyDescent="0.35">
      <c r="A171" s="13"/>
      <c r="C171" s="13"/>
      <c r="S171" s="13"/>
      <c r="T171" s="13"/>
      <c r="AF171" s="14" t="str">
        <f t="shared" si="15"/>
        <v/>
      </c>
      <c r="AG171" s="8" t="str">
        <f t="shared" si="16"/>
        <v/>
      </c>
      <c r="AH171" s="14" t="str">
        <f t="shared" si="17"/>
        <v/>
      </c>
      <c r="AI171" t="str" cm="1">
        <f t="array" ref="AI171">IF(A171="","",IFERROR(INDEX(Listings!A:A,MATCH(TEXT(C171,"MM/DD/YYYY")&amp;G171&amp;U171,Listings!J$2:J$201,0)+1),""))</f>
        <v/>
      </c>
    </row>
    <row r="172" spans="1:35" ht="20.5" customHeight="1" x14ac:dyDescent="0.35">
      <c r="A172" s="13"/>
      <c r="C172" s="13"/>
      <c r="S172" s="13"/>
      <c r="T172" s="13"/>
      <c r="AF172" s="14" t="str">
        <f t="shared" si="15"/>
        <v/>
      </c>
      <c r="AG172" s="8" t="str">
        <f t="shared" si="16"/>
        <v/>
      </c>
      <c r="AH172" s="14" t="str">
        <f t="shared" si="17"/>
        <v/>
      </c>
      <c r="AI172" t="str" cm="1">
        <f t="array" ref="AI172">IF(A172="","",IFERROR(INDEX(Listings!A:A,MATCH(TEXT(C172,"MM/DD/YYYY")&amp;G172&amp;U172,Listings!J$2:J$201,0)+1),""))</f>
        <v/>
      </c>
    </row>
    <row r="173" spans="1:35" ht="20.5" customHeight="1" x14ac:dyDescent="0.35">
      <c r="A173" s="13"/>
      <c r="C173" s="13"/>
      <c r="S173" s="13"/>
      <c r="T173" s="13"/>
      <c r="AF173" s="14" t="str">
        <f t="shared" si="15"/>
        <v/>
      </c>
      <c r="AG173" s="8" t="str">
        <f t="shared" si="16"/>
        <v/>
      </c>
      <c r="AH173" s="14" t="str">
        <f t="shared" si="17"/>
        <v/>
      </c>
      <c r="AI173" t="str" cm="1">
        <f t="array" ref="AI173">IF(A173="","",IFERROR(INDEX(Listings!A:A,MATCH(TEXT(C173,"MM/DD/YYYY")&amp;G173&amp;U173,Listings!J$2:J$201,0)+1),""))</f>
        <v/>
      </c>
    </row>
    <row r="174" spans="1:35" ht="20.5" customHeight="1" x14ac:dyDescent="0.35">
      <c r="A174" s="13"/>
      <c r="C174" s="13"/>
      <c r="S174" s="13"/>
      <c r="T174" s="13"/>
      <c r="AF174" s="14" t="str">
        <f t="shared" si="15"/>
        <v/>
      </c>
      <c r="AG174" s="8" t="str">
        <f t="shared" si="16"/>
        <v/>
      </c>
      <c r="AH174" s="14" t="str">
        <f t="shared" si="17"/>
        <v/>
      </c>
      <c r="AI174" t="str" cm="1">
        <f t="array" ref="AI174">IF(A174="","",IFERROR(INDEX(Listings!A:A,MATCH(TEXT(C174,"MM/DD/YYYY")&amp;G174&amp;U174,Listings!J$2:J$201,0)+1),""))</f>
        <v/>
      </c>
    </row>
    <row r="175" spans="1:35" ht="20.5" customHeight="1" x14ac:dyDescent="0.35">
      <c r="A175" s="13"/>
      <c r="C175" s="13"/>
      <c r="S175" s="13"/>
      <c r="T175" s="13"/>
      <c r="AF175" s="14" t="str">
        <f t="shared" si="15"/>
        <v/>
      </c>
      <c r="AG175" s="8" t="str">
        <f t="shared" si="16"/>
        <v/>
      </c>
      <c r="AH175" s="14" t="str">
        <f t="shared" si="17"/>
        <v/>
      </c>
      <c r="AI175" t="str" cm="1">
        <f t="array" ref="AI175">IF(A175="","",IFERROR(INDEX(Listings!A:A,MATCH(TEXT(C175,"MM/DD/YYYY")&amp;G175&amp;U175,Listings!J$2:J$201,0)+1),""))</f>
        <v/>
      </c>
    </row>
    <row r="176" spans="1:35" ht="20.5" customHeight="1" x14ac:dyDescent="0.35">
      <c r="A176" s="13"/>
      <c r="C176" s="13"/>
      <c r="S176" s="13"/>
      <c r="T176" s="13"/>
      <c r="AF176" s="14" t="str">
        <f t="shared" si="15"/>
        <v/>
      </c>
      <c r="AG176" s="8" t="str">
        <f t="shared" si="16"/>
        <v/>
      </c>
      <c r="AH176" s="14" t="str">
        <f t="shared" si="17"/>
        <v/>
      </c>
      <c r="AI176" t="str" cm="1">
        <f t="array" ref="AI176">IF(A176="","",IFERROR(INDEX(Listings!A:A,MATCH(TEXT(C176,"MM/DD/YYYY")&amp;G176&amp;U176,Listings!J$2:J$201,0)+1),""))</f>
        <v/>
      </c>
    </row>
    <row r="177" spans="1:35" x14ac:dyDescent="0.35">
      <c r="A177" s="13"/>
      <c r="C177" s="13"/>
      <c r="S177" s="13"/>
      <c r="T177" s="13"/>
      <c r="AF177" s="14" t="str">
        <f t="shared" si="15"/>
        <v/>
      </c>
      <c r="AG177" s="14" t="str">
        <f t="shared" si="16"/>
        <v/>
      </c>
      <c r="AH177" s="14" t="str">
        <f t="shared" si="17"/>
        <v/>
      </c>
      <c r="AI177" t="str" cm="1">
        <f t="array" ref="AI177">IF(A177="","",IFERROR(INDEX(Listings!A:A,MATCH(TEXT(C177,"MM/DD/YYYY")&amp;G177&amp;U177,Listings!J$2:J$201,0)+1),""))</f>
        <v/>
      </c>
    </row>
    <row r="178" spans="1:35" x14ac:dyDescent="0.35">
      <c r="A178" s="13"/>
      <c r="C178" s="13"/>
      <c r="S178" s="13"/>
      <c r="T178" s="13"/>
      <c r="AF178" s="14" t="str">
        <f t="shared" si="15"/>
        <v/>
      </c>
      <c r="AG178" s="14" t="str">
        <f t="shared" si="16"/>
        <v/>
      </c>
      <c r="AH178" s="14" t="str">
        <f t="shared" si="17"/>
        <v/>
      </c>
      <c r="AI178" t="str" cm="1">
        <f t="array" ref="AI178">IF(A178="","",IFERROR(INDEX(Listings!A:A,MATCH(TEXT(C178,"MM/DD/YYYY")&amp;G178&amp;U178,Listings!J$2:J$201,0)+1),""))</f>
        <v/>
      </c>
    </row>
    <row r="179" spans="1:35" x14ac:dyDescent="0.35">
      <c r="A179" s="13"/>
      <c r="C179" s="13"/>
      <c r="S179" s="13"/>
      <c r="T179" s="13"/>
      <c r="AF179" s="14" t="str">
        <f t="shared" si="15"/>
        <v/>
      </c>
      <c r="AG179" s="14" t="str">
        <f t="shared" si="16"/>
        <v/>
      </c>
      <c r="AH179" s="14" t="str">
        <f t="shared" si="17"/>
        <v/>
      </c>
      <c r="AI179" t="str" cm="1">
        <f t="array" ref="AI179">IF(A179="","",IFERROR(INDEX(Listings!A:A,MATCH(TEXT(C179,"MM/DD/YYYY")&amp;G179&amp;U179,Listings!J$2:J$201,0)+1),""))</f>
        <v/>
      </c>
    </row>
    <row r="180" spans="1:35" x14ac:dyDescent="0.35">
      <c r="A180" s="13"/>
      <c r="C180" s="13"/>
      <c r="S180" s="13"/>
      <c r="T180" s="13"/>
      <c r="AF180" s="14" t="str">
        <f t="shared" si="15"/>
        <v/>
      </c>
      <c r="AG180" s="14" t="str">
        <f t="shared" si="16"/>
        <v/>
      </c>
      <c r="AH180" s="14" t="str">
        <f t="shared" si="17"/>
        <v/>
      </c>
      <c r="AI180" t="str" cm="1">
        <f t="array" ref="AI180">IF(A180="","",IFERROR(INDEX(Listings!A:A,MATCH(TEXT(C180,"MM/DD/YYYY")&amp;G180&amp;U180,Listings!J$2:J$201,0)+1),""))</f>
        <v/>
      </c>
    </row>
    <row r="181" spans="1:35" x14ac:dyDescent="0.35">
      <c r="A181" s="13"/>
      <c r="C181" s="13"/>
      <c r="S181" s="13"/>
      <c r="T181" s="13"/>
      <c r="AF181" s="14" t="str">
        <f t="shared" si="15"/>
        <v/>
      </c>
      <c r="AG181" s="14" t="str">
        <f t="shared" si="16"/>
        <v/>
      </c>
      <c r="AH181" s="14" t="str">
        <f t="shared" si="17"/>
        <v/>
      </c>
      <c r="AI181" t="str" cm="1">
        <f t="array" ref="AI181">IF(A181="","",IFERROR(INDEX(Listings!A:A,MATCH(TEXT(C181,"MM/DD/YYYY")&amp;G181&amp;U181,Listings!J$2:J$201,0)+1),""))</f>
        <v/>
      </c>
    </row>
    <row r="182" spans="1:35" x14ac:dyDescent="0.35">
      <c r="A182" s="13"/>
      <c r="C182" s="13"/>
      <c r="S182" s="13"/>
      <c r="T182" s="13"/>
      <c r="AF182" s="14" t="str">
        <f t="shared" si="15"/>
        <v/>
      </c>
      <c r="AG182" s="14" t="str">
        <f t="shared" si="16"/>
        <v/>
      </c>
      <c r="AH182" s="14" t="str">
        <f t="shared" si="17"/>
        <v/>
      </c>
      <c r="AI182" t="str" cm="1">
        <f t="array" ref="AI182">IF(A182="","",IFERROR(INDEX(Listings!A:A,MATCH(TEXT(C182,"MM/DD/YYYY")&amp;G182&amp;U182,Listings!J$2:J$201,0)+1),""))</f>
        <v/>
      </c>
    </row>
    <row r="183" spans="1:35" x14ac:dyDescent="0.35">
      <c r="A183" s="13"/>
      <c r="C183" s="13"/>
      <c r="S183" s="13"/>
      <c r="T183" s="13"/>
      <c r="AF183" s="14" t="str">
        <f t="shared" si="15"/>
        <v/>
      </c>
      <c r="AG183" s="14" t="str">
        <f t="shared" si="16"/>
        <v/>
      </c>
      <c r="AH183" s="14" t="str">
        <f t="shared" si="17"/>
        <v/>
      </c>
      <c r="AI183" t="str" cm="1">
        <f t="array" ref="AI183">IF(A183="","",IFERROR(INDEX(Listings!A:A,MATCH(TEXT(C183,"MM/DD/YYYY")&amp;G183&amp;U183,Listings!J$2:J$201,0)+1),""))</f>
        <v/>
      </c>
    </row>
    <row r="184" spans="1:35" x14ac:dyDescent="0.35">
      <c r="A184" s="13"/>
      <c r="C184" s="13"/>
      <c r="S184" s="13"/>
      <c r="T184" s="13"/>
      <c r="AF184" s="14" t="str">
        <f t="shared" si="15"/>
        <v/>
      </c>
      <c r="AG184" s="14" t="str">
        <f t="shared" si="16"/>
        <v/>
      </c>
      <c r="AH184" s="14" t="str">
        <f t="shared" si="17"/>
        <v/>
      </c>
      <c r="AI184" t="str" cm="1">
        <f t="array" ref="AI184">IF(A184="","",IFERROR(INDEX(Listings!A:A,MATCH(TEXT(C184,"MM/DD/YYYY")&amp;G184&amp;U184,Listings!J$2:J$201,0)+1),""))</f>
        <v/>
      </c>
    </row>
    <row r="185" spans="1:35" x14ac:dyDescent="0.35">
      <c r="A185" s="13"/>
      <c r="C185" s="13"/>
      <c r="S185" s="13"/>
      <c r="T185" s="13"/>
      <c r="AF185" s="14" t="str">
        <f t="shared" si="15"/>
        <v/>
      </c>
      <c r="AG185" s="14" t="str">
        <f t="shared" si="16"/>
        <v/>
      </c>
      <c r="AH185" s="14" t="str">
        <f t="shared" si="17"/>
        <v/>
      </c>
      <c r="AI185" t="str" cm="1">
        <f t="array" ref="AI185">IF(A185="","",IFERROR(INDEX(Listings!A:A,MATCH(TEXT(C185,"MM/DD/YYYY")&amp;G185&amp;U185,Listings!J$2:J$201,0)+1),""))</f>
        <v/>
      </c>
    </row>
    <row r="186" spans="1:35" x14ac:dyDescent="0.35">
      <c r="A186" s="13"/>
      <c r="C186" s="13"/>
      <c r="S186" s="13"/>
      <c r="T186" s="13"/>
      <c r="AF186" s="14" t="str">
        <f t="shared" si="15"/>
        <v/>
      </c>
      <c r="AG186" s="14" t="str">
        <f t="shared" si="16"/>
        <v/>
      </c>
      <c r="AH186" s="14" t="str">
        <f t="shared" si="17"/>
        <v/>
      </c>
      <c r="AI186" t="str" cm="1">
        <f t="array" ref="AI186">IF(A186="","",IFERROR(INDEX(Listings!A:A,MATCH(TEXT(C186,"MM/DD/YYYY")&amp;G186&amp;U186,Listings!J$2:J$201,0)+1),""))</f>
        <v/>
      </c>
    </row>
    <row r="187" spans="1:35" x14ac:dyDescent="0.35">
      <c r="A187" s="13"/>
      <c r="C187" s="13"/>
      <c r="S187" s="13"/>
      <c r="T187" s="13"/>
      <c r="AF187" s="14" t="str">
        <f t="shared" si="15"/>
        <v/>
      </c>
      <c r="AG187" s="14" t="str">
        <f t="shared" si="16"/>
        <v/>
      </c>
      <c r="AH187" s="14" t="str">
        <f t="shared" si="17"/>
        <v/>
      </c>
      <c r="AI187" t="str" cm="1">
        <f t="array" ref="AI187">IF(A187="","",IFERROR(INDEX(Listings!A:A,MATCH(TEXT(C187,"MM/DD/YYYY")&amp;G187&amp;U187,Listings!J$2:J$201,0)+1),""))</f>
        <v/>
      </c>
    </row>
    <row r="188" spans="1:35" x14ac:dyDescent="0.35">
      <c r="A188" s="13"/>
      <c r="C188" s="13"/>
      <c r="S188" s="13"/>
      <c r="T188" s="13"/>
      <c r="AF188" s="14" t="str">
        <f t="shared" si="15"/>
        <v/>
      </c>
      <c r="AG188" s="14" t="str">
        <f t="shared" si="16"/>
        <v/>
      </c>
      <c r="AH188" s="8" t="str">
        <f t="shared" si="17"/>
        <v/>
      </c>
      <c r="AI188" t="str" cm="1">
        <f t="array" ref="AI188">IF(A188="","",IFERROR(INDEX(Listings!A:A,MATCH(TEXT(C188,"MM/DD/YYYY")&amp;G188&amp;U188,Listings!J$2:J$201,0)+1),""))</f>
        <v/>
      </c>
    </row>
    <row r="189" spans="1:35" x14ac:dyDescent="0.35">
      <c r="A189" s="13"/>
      <c r="C189" s="13"/>
      <c r="S189" s="13"/>
      <c r="T189" s="13"/>
      <c r="AF189" s="14" t="str">
        <f>IF(OR(A189="",C189=""),"",A189-C189)</f>
        <v/>
      </c>
      <c r="AG189" s="14" t="str">
        <f t="shared" si="16"/>
        <v/>
      </c>
      <c r="AH189" s="8" t="str">
        <f t="shared" si="17"/>
        <v/>
      </c>
      <c r="AI189" t="str" cm="1">
        <f t="array" ref="AI189">IF(A189="","",IFERROR(INDEX(Listings!A:A,MATCH(TEXT(C189,"MM/DD/YYYY")&amp;G189&amp;U189,Listings!J$2:J$201,0)+1),""))</f>
        <v/>
      </c>
    </row>
    <row r="190" spans="1:35" x14ac:dyDescent="0.35">
      <c r="A190" s="8"/>
      <c r="B190" s="8"/>
      <c r="C190" s="8"/>
      <c r="D190" s="7"/>
      <c r="E190" s="7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 t="str">
        <f t="shared" ref="AC190:AC192" si="18">IF(OR(A190="",C190=""),"",DATEVALUE(A190)-DATEVALUE(C190))</f>
        <v/>
      </c>
      <c r="AD190" s="8" t="str">
        <f t="shared" ref="AD190:AD192" si="19">IF(A190="","",IF(D190="No",IFERROR(VALUE(SUBSTITUTE(K190,"$",""))*1,0),IF(D190="Yes",IFERROR(VALUE(SUBSTITUTE(K190,"$",""))/VALUE(E190),0),"")))</f>
        <v/>
      </c>
      <c r="AE190" s="8" t="str">
        <f t="shared" ref="AE190:AE192" si="20">IF(A190="","",IFERROR(VALUE(SUBSTITUTE(N190,"$",""))*1,0)+IFERROR(VALUE(SUBSTITUTE(O190,"$",""))*1,0)+IFERROR(VALUE(SUBSTITUTE(P190,"$",""))*1,0)+IFERROR(VALUE(SUBSTITUTE(Q190,"$",""))*1,0))</f>
        <v/>
      </c>
      <c r="AF190" s="14" t="str">
        <f>IF(OR(A190="",C190=""),"",A190-C190)</f>
        <v/>
      </c>
      <c r="AG190" s="14" t="str">
        <f t="shared" ref="AG190" si="21">IF(A190="","",IF(D190="No",IFERROR(K190*1,0),IF(D190="Yes",IFERROR(K190/E190,0),"")))</f>
        <v/>
      </c>
      <c r="AH190" s="8" t="str">
        <f t="shared" ref="AH190" si="22">IF(A190="","",IFERROR(N190*1,0)+IFERROR(O190*1,0)+IFERROR(P190*1,0)+IFERROR(Q190*1,0))</f>
        <v/>
      </c>
      <c r="AI190" t="str" cm="1">
        <f t="array" ref="AI190">IF(A190="","",IFERROR(INDEX(Listings!A:A,MATCH(TEXT(C190,"MM/DD/YYYY")&amp;G190&amp;U190,Listings!J$2:J$201,0)+1),""))</f>
        <v/>
      </c>
    </row>
    <row r="191" spans="1:35" x14ac:dyDescent="0.35">
      <c r="A191" s="8"/>
      <c r="B191" s="8"/>
      <c r="C191" s="8"/>
      <c r="D191" s="7"/>
      <c r="E191" s="7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 t="str">
        <f t="shared" si="18"/>
        <v/>
      </c>
      <c r="AD191" s="8" t="str">
        <f t="shared" si="19"/>
        <v/>
      </c>
      <c r="AE191" s="8" t="str">
        <f t="shared" si="20"/>
        <v/>
      </c>
      <c r="AF191" s="14" t="str">
        <f t="shared" ref="AF191:AF200" si="23">IF(OR(A191="",C191=""),"",A191-C191)</f>
        <v/>
      </c>
      <c r="AG191" s="14" t="str">
        <f t="shared" ref="AG191:AG200" si="24">IF(A191="","",IF(D191="No",IFERROR(K191*1,0),IF(D191="Yes",IFERROR(K191/E191,0),"")))</f>
        <v/>
      </c>
      <c r="AH191" s="8" t="str">
        <f t="shared" ref="AH191:AH200" si="25">IF(A191="","",IFERROR(N191*1,0)+IFERROR(O191*1,0)+IFERROR(P191*1,0)+IFERROR(Q191*1,0))</f>
        <v/>
      </c>
      <c r="AI191" t="str" cm="1">
        <f t="array" ref="AI191">IF(A191="","",IFERROR(INDEX(Listings!A:A,MATCH(TEXT(C191,"MM/DD/YYYY")&amp;G191&amp;U191,Listings!J$2:J$201,0)+1),""))</f>
        <v/>
      </c>
    </row>
    <row r="192" spans="1:35" x14ac:dyDescent="0.35">
      <c r="A192" s="8"/>
      <c r="B192" s="8"/>
      <c r="C192" s="8"/>
      <c r="D192" s="7"/>
      <c r="E192" s="7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 t="str">
        <f t="shared" si="18"/>
        <v/>
      </c>
      <c r="AD192" s="8" t="str">
        <f t="shared" si="19"/>
        <v/>
      </c>
      <c r="AE192" s="8" t="str">
        <f t="shared" si="20"/>
        <v/>
      </c>
      <c r="AF192" s="14" t="str">
        <f t="shared" si="23"/>
        <v/>
      </c>
      <c r="AG192" s="14" t="str">
        <f t="shared" si="24"/>
        <v/>
      </c>
      <c r="AH192" s="8" t="str">
        <f t="shared" si="25"/>
        <v/>
      </c>
      <c r="AI192" t="str" cm="1">
        <f t="array" ref="AI192">IF(A192="","",IFERROR(INDEX(Listings!A:A,MATCH(TEXT(C192,"MM/DD/YYYY")&amp;G192&amp;U192,Listings!J$2:J$201,0)+1),""))</f>
        <v/>
      </c>
    </row>
    <row r="193" spans="1:35" x14ac:dyDescent="0.35">
      <c r="A193" s="8"/>
      <c r="B193" s="8"/>
      <c r="C193" s="8"/>
      <c r="D193" s="7"/>
      <c r="E193" s="7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 t="str">
        <f t="shared" ref="AC193:AC200" si="26">IF(OR(A193="",C193=""),"",DATEVALUE(A193)-DATEVALUE(C193))</f>
        <v/>
      </c>
      <c r="AD193" s="8" t="str">
        <f t="shared" ref="AD193:AD200" si="27">IF(A193="","",IF(D193="No",IFERROR(VALUE(SUBSTITUTE(K193,"$",""))*1,0),IF(D193="Yes",IFERROR(VALUE(SUBSTITUTE(K193,"$",""))/VALUE(E193),0),"")))</f>
        <v/>
      </c>
      <c r="AE193" s="8" t="str">
        <f t="shared" ref="AE193:AE200" si="28">IF(A193="","",IFERROR(VALUE(SUBSTITUTE(N193,"$",""))*1,0)+IFERROR(VALUE(SUBSTITUTE(O193,"$",""))*1,0)+IFERROR(VALUE(SUBSTITUTE(P193,"$",""))*1,0)+IFERROR(VALUE(SUBSTITUTE(Q193,"$",""))*1,0))</f>
        <v/>
      </c>
      <c r="AF193" s="14" t="str">
        <f t="shared" si="23"/>
        <v/>
      </c>
      <c r="AG193" s="14" t="str">
        <f t="shared" si="24"/>
        <v/>
      </c>
      <c r="AH193" s="8" t="str">
        <f t="shared" si="25"/>
        <v/>
      </c>
      <c r="AI193" t="str" cm="1">
        <f t="array" ref="AI193">IF(A193="","",IFERROR(INDEX(Listings!A:A,MATCH(TEXT(C193,"MM/DD/YYYY")&amp;G193&amp;U193,Listings!J$2:J$201,0)+1),""))</f>
        <v/>
      </c>
    </row>
    <row r="194" spans="1:35" x14ac:dyDescent="0.35">
      <c r="A194" s="8"/>
      <c r="B194" s="8"/>
      <c r="C194" s="8"/>
      <c r="D194" s="7"/>
      <c r="E194" s="7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 t="str">
        <f t="shared" si="26"/>
        <v/>
      </c>
      <c r="AD194" s="8" t="str">
        <f t="shared" si="27"/>
        <v/>
      </c>
      <c r="AE194" s="8" t="str">
        <f t="shared" si="28"/>
        <v/>
      </c>
      <c r="AF194" s="14" t="str">
        <f t="shared" si="23"/>
        <v/>
      </c>
      <c r="AG194" s="14" t="str">
        <f t="shared" si="24"/>
        <v/>
      </c>
      <c r="AH194" s="8" t="str">
        <f t="shared" si="25"/>
        <v/>
      </c>
      <c r="AI194" t="str" cm="1">
        <f t="array" ref="AI194">IF(A194="","",IFERROR(INDEX(Listings!A:A,MATCH(TEXT(C194,"MM/DD/YYYY")&amp;G194&amp;U194,Listings!J$2:J$201,0)+1),""))</f>
        <v/>
      </c>
    </row>
    <row r="195" spans="1:35" x14ac:dyDescent="0.35">
      <c r="A195" s="8"/>
      <c r="B195" s="8"/>
      <c r="C195" s="8"/>
      <c r="D195" s="7"/>
      <c r="E195" s="7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 t="str">
        <f t="shared" si="26"/>
        <v/>
      </c>
      <c r="AD195" s="8" t="str">
        <f t="shared" si="27"/>
        <v/>
      </c>
      <c r="AE195" s="8" t="str">
        <f t="shared" si="28"/>
        <v/>
      </c>
      <c r="AF195" s="14" t="str">
        <f t="shared" si="23"/>
        <v/>
      </c>
      <c r="AG195" s="14" t="str">
        <f t="shared" si="24"/>
        <v/>
      </c>
      <c r="AH195" s="8" t="str">
        <f t="shared" si="25"/>
        <v/>
      </c>
      <c r="AI195" t="str" cm="1">
        <f t="array" ref="AI195">IF(A195="","",IFERROR(INDEX(Listings!A:A,MATCH(TEXT(C195,"MM/DD/YYYY")&amp;G195&amp;U195,Listings!J$2:J$201,0)+1),""))</f>
        <v/>
      </c>
    </row>
    <row r="196" spans="1:35" x14ac:dyDescent="0.35">
      <c r="A196" s="8"/>
      <c r="B196" s="8"/>
      <c r="C196" s="8"/>
      <c r="D196" s="7"/>
      <c r="E196" s="7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 t="str">
        <f t="shared" si="26"/>
        <v/>
      </c>
      <c r="AD196" s="8" t="str">
        <f t="shared" si="27"/>
        <v/>
      </c>
      <c r="AE196" s="8" t="str">
        <f t="shared" si="28"/>
        <v/>
      </c>
      <c r="AF196" s="14" t="str">
        <f t="shared" si="23"/>
        <v/>
      </c>
      <c r="AG196" s="14" t="str">
        <f t="shared" si="24"/>
        <v/>
      </c>
      <c r="AH196" s="8" t="str">
        <f t="shared" si="25"/>
        <v/>
      </c>
      <c r="AI196" t="str" cm="1">
        <f t="array" ref="AI196">IF(A196="","",IFERROR(INDEX(Listings!A:A,MATCH(TEXT(C196,"MM/DD/YYYY")&amp;G196&amp;U196,Listings!J$2:J$201,0)+1),""))</f>
        <v/>
      </c>
    </row>
    <row r="197" spans="1:35" x14ac:dyDescent="0.35">
      <c r="A197" s="8"/>
      <c r="B197" s="8"/>
      <c r="C197" s="8"/>
      <c r="D197" s="7"/>
      <c r="E197" s="7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 t="str">
        <f t="shared" si="26"/>
        <v/>
      </c>
      <c r="AD197" s="8" t="str">
        <f t="shared" si="27"/>
        <v/>
      </c>
      <c r="AE197" s="8" t="str">
        <f t="shared" si="28"/>
        <v/>
      </c>
      <c r="AF197" s="14" t="str">
        <f t="shared" si="23"/>
        <v/>
      </c>
      <c r="AG197" s="14" t="str">
        <f t="shared" si="24"/>
        <v/>
      </c>
      <c r="AH197" s="8" t="str">
        <f t="shared" si="25"/>
        <v/>
      </c>
      <c r="AI197" t="str" cm="1">
        <f t="array" ref="AI197">IF(A197="","",IFERROR(INDEX(Listings!A:A,MATCH(TEXT(C197,"MM/DD/YYYY")&amp;G197&amp;U197,Listings!J$2:J$201,0)+1),""))</f>
        <v/>
      </c>
    </row>
    <row r="198" spans="1:35" x14ac:dyDescent="0.35">
      <c r="A198" s="8"/>
      <c r="B198" s="8"/>
      <c r="C198" s="8"/>
      <c r="D198" s="7"/>
      <c r="E198" s="7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 t="str">
        <f t="shared" si="26"/>
        <v/>
      </c>
      <c r="AD198" s="8" t="str">
        <f t="shared" si="27"/>
        <v/>
      </c>
      <c r="AE198" s="8" t="str">
        <f t="shared" si="28"/>
        <v/>
      </c>
      <c r="AF198" s="14" t="str">
        <f t="shared" si="23"/>
        <v/>
      </c>
      <c r="AG198" s="14" t="str">
        <f t="shared" si="24"/>
        <v/>
      </c>
      <c r="AH198" s="8" t="str">
        <f t="shared" si="25"/>
        <v/>
      </c>
      <c r="AI198" t="str" cm="1">
        <f t="array" ref="AI198">IF(A198="","",IFERROR(INDEX(Listings!A:A,MATCH(TEXT(C198,"MM/DD/YYYY")&amp;G198&amp;U198,Listings!J$2:J$201,0)+1),""))</f>
        <v/>
      </c>
    </row>
    <row r="199" spans="1:35" x14ac:dyDescent="0.35">
      <c r="A199" s="8"/>
      <c r="B199" s="8"/>
      <c r="C199" s="8"/>
      <c r="D199" s="7"/>
      <c r="E199" s="7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 t="str">
        <f t="shared" si="26"/>
        <v/>
      </c>
      <c r="AD199" s="8" t="str">
        <f t="shared" si="27"/>
        <v/>
      </c>
      <c r="AE199" s="8" t="str">
        <f t="shared" si="28"/>
        <v/>
      </c>
      <c r="AF199" s="14" t="str">
        <f t="shared" si="23"/>
        <v/>
      </c>
      <c r="AG199" s="14" t="str">
        <f t="shared" si="24"/>
        <v/>
      </c>
      <c r="AH199" s="8" t="str">
        <f t="shared" si="25"/>
        <v/>
      </c>
      <c r="AI199" t="str" cm="1">
        <f t="array" ref="AI199">IF(A199="","",IFERROR(INDEX(Listings!A:A,MATCH(TEXT(C199,"MM/DD/YYYY")&amp;G199&amp;U199,Listings!J$2:J$201,0)+1),""))</f>
        <v/>
      </c>
    </row>
    <row r="200" spans="1:35" x14ac:dyDescent="0.35">
      <c r="A200" s="8"/>
      <c r="B200" s="8"/>
      <c r="C200" s="8"/>
      <c r="D200" s="7"/>
      <c r="E200" s="7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 t="str">
        <f t="shared" si="26"/>
        <v/>
      </c>
      <c r="AD200" s="8" t="str">
        <f t="shared" si="27"/>
        <v/>
      </c>
      <c r="AE200" s="8" t="str">
        <f t="shared" si="28"/>
        <v/>
      </c>
      <c r="AF200" s="14" t="str">
        <f t="shared" si="23"/>
        <v/>
      </c>
      <c r="AG200" s="14" t="str">
        <f t="shared" si="24"/>
        <v/>
      </c>
      <c r="AH200" s="8" t="str">
        <f t="shared" si="25"/>
        <v/>
      </c>
      <c r="AI200" t="str" cm="1">
        <f t="array" ref="AI200">IF(A200="","",IFERROR(INDEX(Listings!A:A,MATCH(TEXT(C200,"MM/DD/YYYY")&amp;G200&amp;U200,Listings!J$2:J$201,0)+1),""))</f>
        <v/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C45-BBEA-4586-A560-3BE2B9AEB67B}">
  <sheetPr>
    <tabColor theme="0" tint="-4.9989318521683403E-2"/>
  </sheetPr>
  <dimension ref="A1:AE13"/>
  <sheetViews>
    <sheetView zoomScale="46" workbookViewId="0">
      <selection activeCell="E31" sqref="E31"/>
    </sheetView>
  </sheetViews>
  <sheetFormatPr defaultRowHeight="14.5" x14ac:dyDescent="0.35"/>
  <cols>
    <col min="1" max="1" width="15.54296875" bestFit="1" customWidth="1"/>
    <col min="2" max="2" width="15.7265625" bestFit="1" customWidth="1"/>
    <col min="3" max="3" width="16.90625" bestFit="1" customWidth="1"/>
    <col min="4" max="4" width="11.7265625" bestFit="1" customWidth="1"/>
    <col min="5" max="5" width="26.54296875" bestFit="1" customWidth="1"/>
    <col min="6" max="7" width="11.1796875" bestFit="1" customWidth="1"/>
    <col min="8" max="8" width="68.54296875" bestFit="1" customWidth="1"/>
    <col min="9" max="9" width="9.36328125" bestFit="1" customWidth="1"/>
    <col min="10" max="10" width="14.36328125" bestFit="1" customWidth="1"/>
    <col min="11" max="11" width="21.81640625" bestFit="1" customWidth="1"/>
    <col min="12" max="12" width="10.1796875" bestFit="1" customWidth="1"/>
    <col min="13" max="14" width="14.36328125" bestFit="1" customWidth="1"/>
    <col min="15" max="15" width="23" bestFit="1" customWidth="1"/>
    <col min="16" max="16" width="25.54296875" bestFit="1" customWidth="1"/>
    <col min="17" max="17" width="16.08984375" bestFit="1" customWidth="1"/>
    <col min="18" max="18" width="17.26953125" bestFit="1" customWidth="1"/>
    <col min="19" max="19" width="24.36328125" bestFit="1" customWidth="1"/>
    <col min="20" max="20" width="21.6328125" bestFit="1" customWidth="1"/>
    <col min="21" max="21" width="13.54296875" bestFit="1" customWidth="1"/>
    <col min="22" max="22" width="19.26953125" bestFit="1" customWidth="1"/>
    <col min="23" max="23" width="27.7265625" bestFit="1" customWidth="1"/>
    <col min="24" max="24" width="17.6328125" bestFit="1" customWidth="1"/>
    <col min="25" max="25" width="17.81640625" bestFit="1" customWidth="1"/>
    <col min="26" max="26" width="10.36328125" bestFit="1" customWidth="1"/>
    <col min="27" max="27" width="13.90625" bestFit="1" customWidth="1"/>
    <col min="28" max="28" width="12.54296875" bestFit="1" customWidth="1"/>
    <col min="29" max="29" width="16.08984375" bestFit="1" customWidth="1"/>
    <col min="30" max="30" width="28.1796875" bestFit="1" customWidth="1"/>
    <col min="31" max="31" width="24.81640625" bestFit="1" customWidth="1"/>
  </cols>
  <sheetData>
    <row r="1" spans="1:31" x14ac:dyDescent="0.3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14</v>
      </c>
      <c r="H1" t="s">
        <v>17</v>
      </c>
      <c r="I1" t="s">
        <v>15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20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74</v>
      </c>
    </row>
    <row r="2" spans="1:31" x14ac:dyDescent="0.35">
      <c r="A2" s="13">
        <v>46123</v>
      </c>
      <c r="B2" t="s">
        <v>816</v>
      </c>
      <c r="C2" s="13">
        <v>46117</v>
      </c>
      <c r="D2" t="s">
        <v>85</v>
      </c>
      <c r="F2" t="s">
        <v>817</v>
      </c>
      <c r="G2" t="s">
        <v>33</v>
      </c>
      <c r="H2" t="s">
        <v>818</v>
      </c>
      <c r="I2" t="s">
        <v>23</v>
      </c>
      <c r="J2">
        <v>17.3</v>
      </c>
      <c r="K2">
        <v>4.99</v>
      </c>
      <c r="L2">
        <v>24.02</v>
      </c>
      <c r="M2">
        <v>0</v>
      </c>
      <c r="N2">
        <v>0</v>
      </c>
      <c r="O2">
        <v>1.37</v>
      </c>
      <c r="P2">
        <v>1.73</v>
      </c>
      <c r="R2" t="s">
        <v>86</v>
      </c>
      <c r="S2" s="13">
        <v>46125</v>
      </c>
      <c r="T2" s="13">
        <v>46128</v>
      </c>
      <c r="U2" t="s">
        <v>28</v>
      </c>
      <c r="V2" t="s">
        <v>819</v>
      </c>
      <c r="W2" t="s">
        <v>820</v>
      </c>
      <c r="X2" t="s">
        <v>821</v>
      </c>
      <c r="Y2" t="s">
        <v>822</v>
      </c>
      <c r="Z2" t="s">
        <v>92</v>
      </c>
      <c r="AA2" t="s">
        <v>823</v>
      </c>
      <c r="AB2" t="s">
        <v>88</v>
      </c>
      <c r="AC2">
        <v>0.97</v>
      </c>
    </row>
    <row r="3" spans="1:31" x14ac:dyDescent="0.35">
      <c r="A3" s="13">
        <v>46125</v>
      </c>
      <c r="B3" t="s">
        <v>824</v>
      </c>
      <c r="C3" s="13">
        <v>46100</v>
      </c>
      <c r="D3" t="s">
        <v>85</v>
      </c>
      <c r="F3" t="s">
        <v>825</v>
      </c>
      <c r="G3" t="s">
        <v>113</v>
      </c>
      <c r="H3" t="s">
        <v>826</v>
      </c>
      <c r="I3" t="s">
        <v>27</v>
      </c>
      <c r="J3">
        <v>24.81</v>
      </c>
      <c r="K3">
        <v>3.99</v>
      </c>
      <c r="L3">
        <v>31.28</v>
      </c>
      <c r="M3">
        <v>0</v>
      </c>
      <c r="N3">
        <v>0</v>
      </c>
      <c r="O3">
        <v>1.96</v>
      </c>
      <c r="P3">
        <v>2.48</v>
      </c>
      <c r="R3" t="s">
        <v>86</v>
      </c>
      <c r="S3" s="13">
        <v>46127</v>
      </c>
      <c r="T3" s="13">
        <v>46130</v>
      </c>
      <c r="U3" t="s">
        <v>116</v>
      </c>
      <c r="V3" t="s">
        <v>827</v>
      </c>
      <c r="W3" t="s">
        <v>828</v>
      </c>
      <c r="X3" t="s">
        <v>821</v>
      </c>
      <c r="Y3" t="s">
        <v>829</v>
      </c>
      <c r="Z3" t="s">
        <v>96</v>
      </c>
      <c r="AA3" t="s">
        <v>830</v>
      </c>
      <c r="AB3" t="s">
        <v>88</v>
      </c>
    </row>
    <row r="4" spans="1:31" x14ac:dyDescent="0.35">
      <c r="A4" s="13">
        <v>46125</v>
      </c>
      <c r="B4" t="s">
        <v>831</v>
      </c>
      <c r="C4" s="13">
        <v>46113</v>
      </c>
      <c r="D4" t="s">
        <v>85</v>
      </c>
      <c r="F4" t="s">
        <v>832</v>
      </c>
      <c r="G4" t="s">
        <v>98</v>
      </c>
      <c r="H4" t="s">
        <v>833</v>
      </c>
      <c r="I4" t="s">
        <v>23</v>
      </c>
      <c r="J4">
        <v>26.62</v>
      </c>
      <c r="K4">
        <v>4.99</v>
      </c>
      <c r="L4">
        <v>34.270000000000003</v>
      </c>
      <c r="M4">
        <v>0</v>
      </c>
      <c r="N4">
        <v>0</v>
      </c>
      <c r="O4">
        <v>2.1</v>
      </c>
      <c r="P4">
        <v>2.66</v>
      </c>
      <c r="R4" t="s">
        <v>86</v>
      </c>
      <c r="S4" s="13">
        <v>46127</v>
      </c>
      <c r="T4" s="13">
        <v>46130</v>
      </c>
      <c r="U4" t="s">
        <v>28</v>
      </c>
      <c r="V4" t="s">
        <v>834</v>
      </c>
      <c r="W4" t="s">
        <v>835</v>
      </c>
      <c r="X4" t="s">
        <v>821</v>
      </c>
      <c r="Y4" t="s">
        <v>836</v>
      </c>
      <c r="Z4" t="s">
        <v>837</v>
      </c>
      <c r="AA4" t="s">
        <v>838</v>
      </c>
      <c r="AB4" t="s">
        <v>88</v>
      </c>
      <c r="AC4">
        <v>2.0099999999999998</v>
      </c>
    </row>
    <row r="5" spans="1:31" x14ac:dyDescent="0.35">
      <c r="A5" s="13">
        <v>46126</v>
      </c>
      <c r="B5" t="s">
        <v>839</v>
      </c>
      <c r="C5" s="13">
        <v>46106</v>
      </c>
      <c r="D5" t="s">
        <v>85</v>
      </c>
      <c r="F5" t="s">
        <v>840</v>
      </c>
      <c r="G5" t="s">
        <v>45</v>
      </c>
      <c r="H5" t="s">
        <v>841</v>
      </c>
      <c r="I5" t="s">
        <v>30</v>
      </c>
      <c r="J5">
        <v>7.42</v>
      </c>
      <c r="K5">
        <v>7.99</v>
      </c>
      <c r="L5">
        <v>16.149999999999999</v>
      </c>
      <c r="M5">
        <v>0</v>
      </c>
      <c r="N5">
        <v>0</v>
      </c>
      <c r="O5">
        <v>0.59</v>
      </c>
      <c r="P5">
        <v>0.74</v>
      </c>
      <c r="R5" t="s">
        <v>86</v>
      </c>
      <c r="S5" s="13">
        <v>46128</v>
      </c>
      <c r="T5" s="13">
        <v>46131</v>
      </c>
      <c r="U5" t="s">
        <v>37</v>
      </c>
      <c r="V5" t="s">
        <v>842</v>
      </c>
      <c r="W5" t="s">
        <v>843</v>
      </c>
      <c r="X5" t="s">
        <v>821</v>
      </c>
      <c r="Y5" t="s">
        <v>844</v>
      </c>
      <c r="Z5" t="s">
        <v>105</v>
      </c>
      <c r="AA5" t="s">
        <v>845</v>
      </c>
      <c r="AB5" t="s">
        <v>88</v>
      </c>
      <c r="AC5">
        <v>0.52</v>
      </c>
    </row>
    <row r="6" spans="1:31" x14ac:dyDescent="0.35">
      <c r="A6" s="13">
        <v>46128</v>
      </c>
      <c r="B6" t="s">
        <v>846</v>
      </c>
      <c r="C6" s="13">
        <v>46113</v>
      </c>
      <c r="D6" t="s">
        <v>85</v>
      </c>
      <c r="F6" t="s">
        <v>847</v>
      </c>
      <c r="G6" t="s">
        <v>22</v>
      </c>
      <c r="H6" t="s">
        <v>848</v>
      </c>
      <c r="I6" t="s">
        <v>30</v>
      </c>
      <c r="J6">
        <v>9</v>
      </c>
      <c r="K6">
        <v>3.99</v>
      </c>
      <c r="L6">
        <v>13.89</v>
      </c>
      <c r="M6">
        <v>0</v>
      </c>
      <c r="N6">
        <v>0</v>
      </c>
      <c r="O6">
        <v>0.71</v>
      </c>
      <c r="P6">
        <v>0.9</v>
      </c>
      <c r="R6" t="s">
        <v>86</v>
      </c>
      <c r="S6" s="13">
        <v>46130</v>
      </c>
      <c r="T6" s="13">
        <v>46133</v>
      </c>
      <c r="U6" t="s">
        <v>111</v>
      </c>
      <c r="V6" t="s">
        <v>849</v>
      </c>
      <c r="W6" t="s">
        <v>850</v>
      </c>
      <c r="X6" t="s">
        <v>821</v>
      </c>
      <c r="Y6" t="s">
        <v>851</v>
      </c>
      <c r="Z6" t="s">
        <v>96</v>
      </c>
      <c r="AA6" t="s">
        <v>852</v>
      </c>
      <c r="AB6" t="s">
        <v>88</v>
      </c>
    </row>
    <row r="7" spans="1:31" x14ac:dyDescent="0.35">
      <c r="A7" s="13">
        <v>46129</v>
      </c>
      <c r="B7" t="s">
        <v>853</v>
      </c>
      <c r="C7" s="13">
        <v>46102</v>
      </c>
      <c r="D7" t="s">
        <v>85</v>
      </c>
      <c r="F7" t="s">
        <v>854</v>
      </c>
      <c r="G7" t="s">
        <v>33</v>
      </c>
      <c r="H7" t="s">
        <v>855</v>
      </c>
      <c r="I7" t="s">
        <v>27</v>
      </c>
      <c r="J7">
        <v>20.09</v>
      </c>
      <c r="K7">
        <v>5.99</v>
      </c>
      <c r="L7">
        <v>28.09</v>
      </c>
      <c r="M7">
        <v>0</v>
      </c>
      <c r="N7">
        <v>0</v>
      </c>
      <c r="O7">
        <v>1.59</v>
      </c>
      <c r="P7">
        <v>2.0099999999999998</v>
      </c>
      <c r="R7" t="s">
        <v>86</v>
      </c>
      <c r="S7" s="13">
        <v>46131</v>
      </c>
      <c r="T7" s="13">
        <v>46134</v>
      </c>
      <c r="U7" t="s">
        <v>37</v>
      </c>
      <c r="V7" t="s">
        <v>856</v>
      </c>
      <c r="W7" t="s">
        <v>857</v>
      </c>
      <c r="X7" t="s">
        <v>821</v>
      </c>
      <c r="Y7" t="s">
        <v>858</v>
      </c>
      <c r="Z7" t="s">
        <v>837</v>
      </c>
      <c r="AA7" t="s">
        <v>859</v>
      </c>
      <c r="AB7" t="s">
        <v>88</v>
      </c>
      <c r="AC7">
        <v>1.34</v>
      </c>
    </row>
    <row r="8" spans="1:31" x14ac:dyDescent="0.35">
      <c r="A8" s="13">
        <v>46132</v>
      </c>
      <c r="B8" t="s">
        <v>860</v>
      </c>
      <c r="C8" s="13">
        <v>46123</v>
      </c>
      <c r="D8" t="s">
        <v>85</v>
      </c>
      <c r="F8" t="s">
        <v>861</v>
      </c>
      <c r="G8" t="s">
        <v>142</v>
      </c>
      <c r="H8" t="s">
        <v>862</v>
      </c>
      <c r="I8" t="s">
        <v>42</v>
      </c>
      <c r="J8">
        <v>15.61</v>
      </c>
      <c r="K8">
        <v>6.49</v>
      </c>
      <c r="L8">
        <v>23.66</v>
      </c>
      <c r="M8">
        <v>0</v>
      </c>
      <c r="N8">
        <v>0</v>
      </c>
      <c r="O8">
        <v>1.23</v>
      </c>
      <c r="P8">
        <v>1.56</v>
      </c>
      <c r="R8" t="s">
        <v>86</v>
      </c>
      <c r="S8" s="13">
        <v>46134</v>
      </c>
      <c r="T8" s="13">
        <v>46137</v>
      </c>
      <c r="U8" t="s">
        <v>40</v>
      </c>
      <c r="V8" t="s">
        <v>863</v>
      </c>
      <c r="W8" t="s">
        <v>864</v>
      </c>
      <c r="X8" t="s">
        <v>821</v>
      </c>
      <c r="Y8" t="s">
        <v>865</v>
      </c>
      <c r="Z8" t="s">
        <v>102</v>
      </c>
      <c r="AA8" t="s">
        <v>866</v>
      </c>
      <c r="AB8" t="s">
        <v>88</v>
      </c>
      <c r="AC8">
        <v>0.73</v>
      </c>
    </row>
    <row r="9" spans="1:31" x14ac:dyDescent="0.35">
      <c r="A9" s="13">
        <v>46133</v>
      </c>
      <c r="B9" t="s">
        <v>867</v>
      </c>
      <c r="C9" s="13">
        <v>46113</v>
      </c>
      <c r="D9" t="s">
        <v>85</v>
      </c>
      <c r="F9" t="s">
        <v>868</v>
      </c>
      <c r="G9" t="s">
        <v>33</v>
      </c>
      <c r="H9" t="s">
        <v>869</v>
      </c>
      <c r="I9" t="s">
        <v>27</v>
      </c>
      <c r="J9">
        <v>26.67</v>
      </c>
      <c r="K9">
        <v>7.99</v>
      </c>
      <c r="L9">
        <v>37.33</v>
      </c>
      <c r="M9">
        <v>0</v>
      </c>
      <c r="N9">
        <v>0</v>
      </c>
      <c r="O9">
        <v>2.11</v>
      </c>
      <c r="P9">
        <v>2.67</v>
      </c>
      <c r="R9" t="s">
        <v>86</v>
      </c>
      <c r="S9" s="13">
        <v>46135</v>
      </c>
      <c r="T9" s="13">
        <v>46138</v>
      </c>
      <c r="U9" t="s">
        <v>111</v>
      </c>
      <c r="V9" t="s">
        <v>870</v>
      </c>
      <c r="W9" t="s">
        <v>871</v>
      </c>
      <c r="X9" t="s">
        <v>821</v>
      </c>
      <c r="Y9" t="s">
        <v>872</v>
      </c>
      <c r="Z9" t="s">
        <v>102</v>
      </c>
      <c r="AA9" t="s">
        <v>873</v>
      </c>
      <c r="AB9" t="s">
        <v>88</v>
      </c>
    </row>
    <row r="10" spans="1:31" x14ac:dyDescent="0.35">
      <c r="A10" s="13">
        <v>46135</v>
      </c>
      <c r="B10" t="s">
        <v>874</v>
      </c>
      <c r="C10" s="13">
        <v>46111</v>
      </c>
      <c r="D10" t="s">
        <v>85</v>
      </c>
      <c r="F10" t="s">
        <v>875</v>
      </c>
      <c r="G10" t="s">
        <v>22</v>
      </c>
      <c r="H10" t="s">
        <v>876</v>
      </c>
      <c r="I10" t="s">
        <v>27</v>
      </c>
      <c r="J10">
        <v>15.16</v>
      </c>
      <c r="K10">
        <v>7.99</v>
      </c>
      <c r="L10">
        <v>24.67</v>
      </c>
      <c r="M10">
        <v>0</v>
      </c>
      <c r="N10">
        <v>0</v>
      </c>
      <c r="O10">
        <v>1.2</v>
      </c>
      <c r="P10">
        <v>1.52</v>
      </c>
      <c r="R10" t="s">
        <v>86</v>
      </c>
      <c r="S10" s="13">
        <v>46137</v>
      </c>
      <c r="T10" s="13">
        <v>46140</v>
      </c>
      <c r="U10" t="s">
        <v>28</v>
      </c>
      <c r="V10" t="s">
        <v>877</v>
      </c>
      <c r="W10" t="s">
        <v>878</v>
      </c>
      <c r="X10" t="s">
        <v>821</v>
      </c>
      <c r="Y10" t="s">
        <v>879</v>
      </c>
      <c r="Z10" t="s">
        <v>108</v>
      </c>
      <c r="AA10" t="s">
        <v>880</v>
      </c>
      <c r="AB10" t="s">
        <v>88</v>
      </c>
      <c r="AC10">
        <v>0.67</v>
      </c>
    </row>
    <row r="11" spans="1:31" x14ac:dyDescent="0.35">
      <c r="A11" s="13">
        <v>46135</v>
      </c>
      <c r="B11" t="s">
        <v>881</v>
      </c>
      <c r="C11" s="13">
        <v>46119</v>
      </c>
      <c r="D11" t="s">
        <v>85</v>
      </c>
      <c r="F11" t="s">
        <v>882</v>
      </c>
      <c r="G11" t="s">
        <v>33</v>
      </c>
      <c r="H11" t="s">
        <v>883</v>
      </c>
      <c r="I11" t="s">
        <v>32</v>
      </c>
      <c r="J11">
        <v>23.52</v>
      </c>
      <c r="K11">
        <v>6.49</v>
      </c>
      <c r="L11">
        <v>32.36</v>
      </c>
      <c r="M11">
        <v>0</v>
      </c>
      <c r="N11">
        <v>0</v>
      </c>
      <c r="O11">
        <v>1.86</v>
      </c>
      <c r="P11">
        <v>2.35</v>
      </c>
      <c r="R11" t="s">
        <v>86</v>
      </c>
      <c r="S11" s="13">
        <v>46137</v>
      </c>
      <c r="T11" s="13">
        <v>46140</v>
      </c>
      <c r="U11" t="s">
        <v>37</v>
      </c>
      <c r="V11" t="s">
        <v>884</v>
      </c>
      <c r="W11" t="s">
        <v>885</v>
      </c>
      <c r="X11" t="s">
        <v>821</v>
      </c>
      <c r="Y11" t="s">
        <v>886</v>
      </c>
      <c r="Z11" t="s">
        <v>108</v>
      </c>
      <c r="AA11" t="s">
        <v>887</v>
      </c>
      <c r="AB11" t="s">
        <v>88</v>
      </c>
      <c r="AC11">
        <v>1.56</v>
      </c>
    </row>
    <row r="12" spans="1:31" x14ac:dyDescent="0.35">
      <c r="A12" s="13">
        <v>46135</v>
      </c>
      <c r="B12" t="s">
        <v>888</v>
      </c>
      <c r="C12" s="13">
        <v>46124</v>
      </c>
      <c r="D12" t="s">
        <v>85</v>
      </c>
      <c r="F12" t="s">
        <v>889</v>
      </c>
      <c r="G12" t="s">
        <v>33</v>
      </c>
      <c r="H12" t="s">
        <v>890</v>
      </c>
      <c r="I12" t="s">
        <v>30</v>
      </c>
      <c r="J12">
        <v>13.63</v>
      </c>
      <c r="K12">
        <v>7.99</v>
      </c>
      <c r="L12">
        <v>22.98</v>
      </c>
      <c r="M12">
        <v>0</v>
      </c>
      <c r="N12">
        <v>0</v>
      </c>
      <c r="O12">
        <v>1.08</v>
      </c>
      <c r="P12">
        <v>1.36</v>
      </c>
      <c r="R12" t="s">
        <v>86</v>
      </c>
      <c r="S12" s="13">
        <v>46137</v>
      </c>
      <c r="T12" s="13">
        <v>46140</v>
      </c>
      <c r="U12" t="s">
        <v>40</v>
      </c>
      <c r="V12" t="s">
        <v>891</v>
      </c>
      <c r="W12" t="s">
        <v>892</v>
      </c>
      <c r="X12" t="s">
        <v>821</v>
      </c>
      <c r="Y12" t="s">
        <v>893</v>
      </c>
      <c r="Z12" t="s">
        <v>100</v>
      </c>
      <c r="AA12" t="s">
        <v>894</v>
      </c>
      <c r="AB12" t="s">
        <v>88</v>
      </c>
      <c r="AC12">
        <v>0.78</v>
      </c>
    </row>
    <row r="13" spans="1:31" x14ac:dyDescent="0.35">
      <c r="A13" s="13">
        <v>46135</v>
      </c>
      <c r="B13" t="s">
        <v>895</v>
      </c>
      <c r="C13" s="13">
        <v>46107</v>
      </c>
      <c r="D13" t="s">
        <v>85</v>
      </c>
      <c r="F13" t="s">
        <v>896</v>
      </c>
      <c r="G13" t="s">
        <v>151</v>
      </c>
      <c r="H13" t="s">
        <v>897</v>
      </c>
      <c r="I13" t="s">
        <v>27</v>
      </c>
      <c r="J13">
        <v>7.78</v>
      </c>
      <c r="K13">
        <v>3.99</v>
      </c>
      <c r="L13">
        <v>12.55</v>
      </c>
      <c r="M13">
        <v>0</v>
      </c>
      <c r="N13">
        <v>0</v>
      </c>
      <c r="O13">
        <v>0.61</v>
      </c>
      <c r="P13">
        <v>0.78</v>
      </c>
      <c r="R13" t="s">
        <v>86</v>
      </c>
      <c r="S13" s="13">
        <v>46137</v>
      </c>
      <c r="T13" s="13">
        <v>46140</v>
      </c>
      <c r="U13" t="s">
        <v>37</v>
      </c>
      <c r="V13" t="s">
        <v>898</v>
      </c>
      <c r="W13" t="s">
        <v>899</v>
      </c>
      <c r="X13" t="s">
        <v>821</v>
      </c>
      <c r="Y13" t="s">
        <v>900</v>
      </c>
      <c r="Z13" t="s">
        <v>118</v>
      </c>
      <c r="AA13" t="s">
        <v>901</v>
      </c>
      <c r="AB13" t="s">
        <v>88</v>
      </c>
      <c r="AC13">
        <v>0.59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8BD345-317D-4CBB-8E51-A251E66D64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Trips</vt:lpstr>
      <vt:lpstr>Items</vt:lpstr>
      <vt:lpstr>Listings</vt:lpstr>
      <vt:lpstr>Sales</vt:lpstr>
      <vt:lpstr>DepopSalesImport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jenna anderson</cp:lastModifiedBy>
  <cp:revision>0</cp:revision>
  <dcterms:created xsi:type="dcterms:W3CDTF">2026-03-30T22:35:09Z</dcterms:created>
  <dcterms:modified xsi:type="dcterms:W3CDTF">2026-04-28T20:47:50Z</dcterms:modified>
  <dc:language>en-US</dc:language>
</cp:coreProperties>
</file>